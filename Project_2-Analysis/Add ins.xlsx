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mc\Documents\Data_Analyst_Excel\Excel_Project_Data_Analytics\"/>
    </mc:Choice>
  </mc:AlternateContent>
  <xr:revisionPtr revIDLastSave="0" documentId="13_ncr:1_{E776B7C9-E62E-4B27-A9A4-2098A62154C2}" xr6:coauthVersionLast="47" xr6:coauthVersionMax="47" xr10:uidLastSave="{00000000-0000-0000-0000-000000000000}"/>
  <bookViews>
    <workbookView xWindow="-108" yWindow="-108" windowWidth="23256" windowHeight="12456" firstSheet="1" activeTab="5" xr2:uid="{45876467-67B6-4938-9AC0-0BA6AE5C49B3}"/>
  </bookViews>
  <sheets>
    <sheet name="Forcast_original" sheetId="1" r:id="rId1"/>
    <sheet name="Forcast_Final" sheetId="8" r:id="rId2"/>
    <sheet name="What_if_analysis" sheetId="14" r:id="rId3"/>
    <sheet name="Scenario Summary" sheetId="10" r:id="rId4"/>
    <sheet name="Answer Report 1" sheetId="22" r:id="rId5"/>
    <sheet name="Sensitivity Report 1" sheetId="23" r:id="rId6"/>
    <sheet name="Limits Report 1" sheetId="24" r:id="rId7"/>
  </sheets>
  <definedNames>
    <definedName name="base">What_if_analysis!$D$6</definedName>
    <definedName name="bonus">What_if_analysis!$D$7</definedName>
    <definedName name="raise">What_if_analysis!$D$8</definedName>
    <definedName name="solver_adj" localSheetId="2" hidden="1">What_if_analysis!$D$7:$D$8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What_if_analysis!$D$7</definedName>
    <definedName name="solver_lhs2" localSheetId="2" hidden="1">What_if_analysis!$D$8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2</definedName>
    <definedName name="solver_nwt" localSheetId="2" hidden="1">1</definedName>
    <definedName name="solver_opt" localSheetId="2" hidden="1">What_if_analysis!$D$18</definedName>
    <definedName name="solver_pre" localSheetId="2" hidden="1">0.000001</definedName>
    <definedName name="solver_rbv" localSheetId="2" hidden="1">2</definedName>
    <definedName name="solver_rel1" localSheetId="2" hidden="1">1</definedName>
    <definedName name="solver_rel2" localSheetId="2" hidden="1">1</definedName>
    <definedName name="solver_rhs1" localSheetId="2" hidden="1">0.2</definedName>
    <definedName name="solver_rhs2" localSheetId="2" hidden="1">0.05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6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640000</definedName>
    <definedName name="solver_ver" localSheetId="2" hidden="1">3</definedName>
    <definedName name="TotalSalary">What_if_analysis!$D$18</definedName>
    <definedName name="Year1">What_if_analysis!$D$14</definedName>
    <definedName name="Year2">What_if_analysis!$D$15</definedName>
    <definedName name="Year3">What_if_analysis!$D$16</definedName>
    <definedName name="Year4">What_if_analysis!$D$17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4" l="1"/>
  <c r="D15" i="14"/>
  <c r="D16" i="14"/>
  <c r="D17" i="14"/>
  <c r="D13" i="14"/>
  <c r="D18" i="14" l="1"/>
  <c r="C367" i="8"/>
  <c r="C387" i="8"/>
  <c r="C407" i="8"/>
  <c r="C427" i="8"/>
  <c r="C447" i="8"/>
  <c r="C368" i="8"/>
  <c r="C388" i="8"/>
  <c r="C408" i="8"/>
  <c r="C428" i="8"/>
  <c r="C448" i="8"/>
  <c r="C369" i="8"/>
  <c r="C389" i="8"/>
  <c r="C409" i="8"/>
  <c r="C429" i="8"/>
  <c r="C449" i="8"/>
  <c r="C370" i="8"/>
  <c r="C390" i="8"/>
  <c r="C410" i="8"/>
  <c r="C430" i="8"/>
  <c r="C450" i="8"/>
  <c r="C371" i="8"/>
  <c r="C391" i="8"/>
  <c r="C411" i="8"/>
  <c r="C431" i="8"/>
  <c r="C451" i="8"/>
  <c r="C372" i="8"/>
  <c r="C397" i="8"/>
  <c r="C422" i="8"/>
  <c r="C452" i="8"/>
  <c r="C373" i="8"/>
  <c r="C398" i="8"/>
  <c r="C423" i="8"/>
  <c r="C453" i="8"/>
  <c r="C374" i="8"/>
  <c r="C399" i="8"/>
  <c r="C424" i="8"/>
  <c r="C454" i="8"/>
  <c r="C375" i="8"/>
  <c r="C400" i="8"/>
  <c r="C425" i="8"/>
  <c r="C455" i="8"/>
  <c r="C376" i="8"/>
  <c r="C401" i="8"/>
  <c r="C426" i="8"/>
  <c r="C456" i="8"/>
  <c r="C377" i="8"/>
  <c r="C402" i="8"/>
  <c r="C432" i="8"/>
  <c r="C457" i="8"/>
  <c r="C378" i="8"/>
  <c r="C403" i="8"/>
  <c r="C433" i="8"/>
  <c r="C458" i="8"/>
  <c r="C379" i="8"/>
  <c r="C404" i="8"/>
  <c r="C434" i="8"/>
  <c r="C380" i="8"/>
  <c r="C405" i="8"/>
  <c r="C435" i="8"/>
  <c r="C381" i="8"/>
  <c r="C406" i="8"/>
  <c r="C436" i="8"/>
  <c r="C382" i="8"/>
  <c r="C412" i="8"/>
  <c r="C437" i="8"/>
  <c r="C383" i="8"/>
  <c r="C413" i="8"/>
  <c r="C438" i="8"/>
  <c r="C384" i="8"/>
  <c r="C443" i="8"/>
  <c r="C385" i="8"/>
  <c r="C444" i="8"/>
  <c r="C386" i="8"/>
  <c r="C445" i="8"/>
  <c r="C392" i="8"/>
  <c r="C446" i="8"/>
  <c r="C393" i="8"/>
  <c r="C394" i="8"/>
  <c r="C395" i="8"/>
  <c r="C396" i="8"/>
  <c r="C414" i="8"/>
  <c r="C415" i="8"/>
  <c r="C416" i="8"/>
  <c r="C417" i="8"/>
  <c r="C418" i="8"/>
  <c r="C419" i="8"/>
  <c r="C420" i="8"/>
  <c r="C421" i="8"/>
  <c r="C439" i="8"/>
  <c r="C440" i="8"/>
  <c r="C441" i="8"/>
  <c r="C442" i="8"/>
  <c r="D442" i="8" l="1"/>
  <c r="D415" i="8"/>
  <c r="E444" i="8"/>
  <c r="D436" i="8"/>
  <c r="E433" i="8"/>
  <c r="D376" i="8"/>
  <c r="E423" i="8"/>
  <c r="D391" i="8"/>
  <c r="D389" i="8"/>
  <c r="E387" i="8"/>
  <c r="E442" i="8"/>
  <c r="E415" i="8"/>
  <c r="D444" i="8"/>
  <c r="E436" i="8"/>
  <c r="D433" i="8"/>
  <c r="E376" i="8"/>
  <c r="D423" i="8"/>
  <c r="E391" i="8"/>
  <c r="E389" i="8"/>
  <c r="D387" i="8"/>
  <c r="D441" i="8"/>
  <c r="D414" i="8"/>
  <c r="E385" i="8"/>
  <c r="E406" i="8"/>
  <c r="E403" i="8"/>
  <c r="D455" i="8"/>
  <c r="D398" i="8"/>
  <c r="D371" i="8"/>
  <c r="D369" i="8"/>
  <c r="E367" i="8"/>
  <c r="E441" i="8"/>
  <c r="E414" i="8"/>
  <c r="D385" i="8"/>
  <c r="D406" i="8"/>
  <c r="D403" i="8"/>
  <c r="E455" i="8"/>
  <c r="E398" i="8"/>
  <c r="E371" i="8"/>
  <c r="E369" i="8"/>
  <c r="D367" i="8"/>
  <c r="D440" i="8"/>
  <c r="D396" i="8"/>
  <c r="E443" i="8"/>
  <c r="E381" i="8"/>
  <c r="D378" i="8"/>
  <c r="E425" i="8"/>
  <c r="E373" i="8"/>
  <c r="D450" i="8"/>
  <c r="D448" i="8"/>
  <c r="E440" i="8"/>
  <c r="E396" i="8"/>
  <c r="D443" i="8"/>
  <c r="D381" i="8"/>
  <c r="E378" i="8"/>
  <c r="D425" i="8"/>
  <c r="D373" i="8"/>
  <c r="E450" i="8"/>
  <c r="E448" i="8"/>
  <c r="D439" i="8"/>
  <c r="D395" i="8"/>
  <c r="E384" i="8"/>
  <c r="D435" i="8"/>
  <c r="D457" i="8"/>
  <c r="E400" i="8"/>
  <c r="E452" i="8"/>
  <c r="E430" i="8"/>
  <c r="E428" i="8"/>
  <c r="E439" i="8"/>
  <c r="E395" i="8"/>
  <c r="D384" i="8"/>
  <c r="E435" i="8"/>
  <c r="E457" i="8"/>
  <c r="D400" i="8"/>
  <c r="D452" i="8"/>
  <c r="D430" i="8"/>
  <c r="D428" i="8"/>
  <c r="D421" i="8"/>
  <c r="D394" i="8"/>
  <c r="D438" i="8"/>
  <c r="E405" i="8"/>
  <c r="E432" i="8"/>
  <c r="D375" i="8"/>
  <c r="D422" i="8"/>
  <c r="D410" i="8"/>
  <c r="E408" i="8"/>
  <c r="E421" i="8"/>
  <c r="E394" i="8"/>
  <c r="E438" i="8"/>
  <c r="D405" i="8"/>
  <c r="D432" i="8"/>
  <c r="E375" i="8"/>
  <c r="E422" i="8"/>
  <c r="E410" i="8"/>
  <c r="D408" i="8"/>
  <c r="D420" i="8"/>
  <c r="D393" i="8"/>
  <c r="D413" i="8"/>
  <c r="E380" i="8"/>
  <c r="E402" i="8"/>
  <c r="E454" i="8"/>
  <c r="D397" i="8"/>
  <c r="D390" i="8"/>
  <c r="D388" i="8"/>
  <c r="E420" i="8"/>
  <c r="E393" i="8"/>
  <c r="E413" i="8"/>
  <c r="D380" i="8"/>
  <c r="D402" i="8"/>
  <c r="D454" i="8"/>
  <c r="E397" i="8"/>
  <c r="E390" i="8"/>
  <c r="E388" i="8"/>
  <c r="D419" i="8"/>
  <c r="E446" i="8"/>
  <c r="E383" i="8"/>
  <c r="E434" i="8"/>
  <c r="D377" i="8"/>
  <c r="E424" i="8"/>
  <c r="D372" i="8"/>
  <c r="D370" i="8"/>
  <c r="D368" i="8"/>
  <c r="E419" i="8"/>
  <c r="D446" i="8"/>
  <c r="D383" i="8"/>
  <c r="D434" i="8"/>
  <c r="E377" i="8"/>
  <c r="D424" i="8"/>
  <c r="E372" i="8"/>
  <c r="E370" i="8"/>
  <c r="E368" i="8"/>
  <c r="D418" i="8"/>
  <c r="D392" i="8"/>
  <c r="D437" i="8"/>
  <c r="E404" i="8"/>
  <c r="D456" i="8"/>
  <c r="D399" i="8"/>
  <c r="D451" i="8"/>
  <c r="D449" i="8"/>
  <c r="D447" i="8"/>
  <c r="E418" i="8"/>
  <c r="E392" i="8"/>
  <c r="E437" i="8"/>
  <c r="D404" i="8"/>
  <c r="E456" i="8"/>
  <c r="E399" i="8"/>
  <c r="E451" i="8"/>
  <c r="E449" i="8"/>
  <c r="E447" i="8"/>
  <c r="D417" i="8"/>
  <c r="E445" i="8"/>
  <c r="D412" i="8"/>
  <c r="D379" i="8"/>
  <c r="E426" i="8"/>
  <c r="E374" i="8"/>
  <c r="E431" i="8"/>
  <c r="E429" i="8"/>
  <c r="E427" i="8"/>
  <c r="E417" i="8"/>
  <c r="D445" i="8"/>
  <c r="E412" i="8"/>
  <c r="E379" i="8"/>
  <c r="D426" i="8"/>
  <c r="D374" i="8"/>
  <c r="D431" i="8"/>
  <c r="D429" i="8"/>
  <c r="D427" i="8"/>
  <c r="D416" i="8"/>
  <c r="E386" i="8"/>
  <c r="E382" i="8"/>
  <c r="D458" i="8"/>
  <c r="E401" i="8"/>
  <c r="E453" i="8"/>
  <c r="D411" i="8"/>
  <c r="E409" i="8"/>
  <c r="E407" i="8"/>
  <c r="E416" i="8"/>
  <c r="D386" i="8"/>
  <c r="D382" i="8"/>
  <c r="E458" i="8"/>
  <c r="D401" i="8"/>
  <c r="D453" i="8"/>
  <c r="E411" i="8"/>
  <c r="D409" i="8"/>
  <c r="D407" i="8"/>
</calcChain>
</file>

<file path=xl/sharedStrings.xml><?xml version="1.0" encoding="utf-8"?>
<sst xmlns="http://schemas.openxmlformats.org/spreadsheetml/2006/main" count="142" uniqueCount="83">
  <si>
    <t>Date</t>
  </si>
  <si>
    <t>Job Count</t>
  </si>
  <si>
    <t>Timeline</t>
  </si>
  <si>
    <t>Values</t>
  </si>
  <si>
    <t>Forecast</t>
  </si>
  <si>
    <t>Lower Confidence Bound</t>
  </si>
  <si>
    <t>Upper Confidence Bound</t>
  </si>
  <si>
    <t>Job</t>
  </si>
  <si>
    <t>Base Salary</t>
  </si>
  <si>
    <t>Bonus</t>
  </si>
  <si>
    <t>Annual Raise</t>
  </si>
  <si>
    <t>Job 1</t>
  </si>
  <si>
    <t>Job 2</t>
  </si>
  <si>
    <t>Job 3</t>
  </si>
  <si>
    <t>Input Cells</t>
  </si>
  <si>
    <t>Result Cells</t>
  </si>
  <si>
    <t>Year</t>
  </si>
  <si>
    <t>Amount</t>
  </si>
  <si>
    <t>Total</t>
  </si>
  <si>
    <t>base</t>
  </si>
  <si>
    <t>bonus</t>
  </si>
  <si>
    <t>raise</t>
  </si>
  <si>
    <t>Year0</t>
  </si>
  <si>
    <t>Year1</t>
  </si>
  <si>
    <t>Year2</t>
  </si>
  <si>
    <t>Year3</t>
  </si>
  <si>
    <t>Year4</t>
  </si>
  <si>
    <t>TotalSalary</t>
  </si>
  <si>
    <t>Created by Johnfinnian Nnnaemeka on 11/17/2025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</si>
  <si>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</si>
  <si>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</si>
  <si>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</si>
  <si>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</si>
  <si>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</si>
  <si>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</si>
  <si>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</si>
  <si>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Microsoft Excel 16.0 Answer Report</t>
  </si>
  <si>
    <t>Result: Solver found a solution.  All Constraints and optimality conditions are satisfied.</t>
  </si>
  <si>
    <t>Solver Engine</t>
  </si>
  <si>
    <t>Engine: GRG Nonlinear</t>
  </si>
  <si>
    <t>Solver Options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</si>
  <si>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</si>
  <si>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</si>
  <si>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</si>
  <si>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</si>
  <si>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</si>
  <si>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</si>
  <si>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</si>
  <si>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</si>
  <si>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</si>
  <si>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</si>
  <si>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</si>
  <si>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</si>
  <si>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</si>
  <si>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Contin</t>
  </si>
  <si>
    <t>$D$7</t>
  </si>
  <si>
    <t>Binding</t>
  </si>
  <si>
    <t>Microsoft Excel 16.0 Sensitivity Report</t>
  </si>
  <si>
    <t>Final</t>
  </si>
  <si>
    <t>Value</t>
  </si>
  <si>
    <t>Reduced</t>
  </si>
  <si>
    <t>Gradient</t>
  </si>
  <si>
    <t>Lagrange</t>
  </si>
  <si>
    <t>Multiplier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</si>
  <si>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</si>
  <si>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</si>
  <si>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</si>
  <si>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</si>
  <si>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</si>
  <si>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</si>
  <si>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</si>
  <si>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Time Unlimited,  Iterations Unlimited, Precision 0.000001</t>
  </si>
  <si>
    <t xml:space="preserve"> Convergence 0.0001, Population Size 100, Random Seed 0, Derivatives Central</t>
  </si>
  <si>
    <t>$D$18</t>
  </si>
  <si>
    <t>$D$8</t>
  </si>
  <si>
    <t>$D$18=640000</t>
  </si>
  <si>
    <t>$D$7&lt;=0.2</t>
  </si>
  <si>
    <t>Not Binding</t>
  </si>
  <si>
    <t>$D$8&lt;=0.05</t>
  </si>
  <si>
    <t>Worksheet: [Add ins Practice.xlsx]What_if_analysis</t>
  </si>
  <si>
    <t>Report Created: 11/17/2025 4:46:32 PM</t>
  </si>
  <si>
    <t>Solution Time: 0.047 Seconds.</t>
  </si>
  <si>
    <t>Iterations: 3 Subproblems: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</si>
</sst>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44" formatCode="_(&quot;$&quot;* #,##0.00_);_(&quot;$&quot;* \(#,##0.00\);_(&quot;$&quot;* &quot;-&quot;??_);_(@_)"/>
    <numFmt numFmtId="164" formatCode="[$-409]d\-mmm;@"/>
    <numFmt numFmtId="165" formatCode="0.0%"/>
    <numFmt numFmtId="166" formatCode="_(&quot;$&quot;* #,##0_);_(&quot;$&quot;* \(#,##0\);_(&quot;$&quot;* &quot;-&quot;??_);_(@_)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164" fontId="0" fillId="0" borderId="3" xfId="0" applyNumberFormat="1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164" fontId="0" fillId="0" borderId="0" xfId="0" applyNumberFormat="1"/>
    <xf numFmtId="2" fontId="0" fillId="0" borderId="0" xfId="0" applyNumberFormat="1"/>
    <xf numFmtId="0" fontId="1" fillId="0" borderId="0" xfId="0" applyFont="1"/>
    <xf numFmtId="0" fontId="1" fillId="0" borderId="7" xfId="0" applyFont="1" applyBorder="1"/>
    <xf numFmtId="166" fontId="0" fillId="0" borderId="7" xfId="1" applyNumberFormat="1" applyFont="1" applyBorder="1"/>
    <xf numFmtId="0" fontId="1" fillId="0" borderId="12" xfId="0" applyFont="1" applyBorder="1"/>
    <xf numFmtId="166" fontId="0" fillId="0" borderId="5" xfId="1" applyNumberFormat="1" applyFont="1" applyBorder="1"/>
    <xf numFmtId="9" fontId="0" fillId="0" borderId="5" xfId="2" applyFont="1" applyBorder="1"/>
    <xf numFmtId="0" fontId="1" fillId="0" borderId="13" xfId="0" applyFont="1" applyBorder="1"/>
    <xf numFmtId="0" fontId="1" fillId="0" borderId="15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166" fontId="0" fillId="0" borderId="0" xfId="0" applyNumberFormat="1"/>
    <xf numFmtId="9" fontId="0" fillId="0" borderId="0" xfId="0" applyNumberFormat="1"/>
    <xf numFmtId="165" fontId="0" fillId="0" borderId="0" xfId="0" applyNumberFormat="1"/>
    <xf numFmtId="166" fontId="0" fillId="0" borderId="18" xfId="0" applyNumberFormat="1" applyBorder="1"/>
    <xf numFmtId="0" fontId="4" fillId="2" borderId="8" xfId="0" applyFont="1" applyFill="1" applyBorder="1" applyAlignment="1">
      <alignment horizontal="left"/>
    </xf>
    <xf numFmtId="0" fontId="4" fillId="2" borderId="17" xfId="0" applyFont="1" applyFill="1" applyBorder="1" applyAlignment="1">
      <alignment horizontal="left"/>
    </xf>
    <xf numFmtId="0" fontId="0" fillId="0" borderId="19" xfId="0" applyBorder="1"/>
    <xf numFmtId="0" fontId="5" fillId="3" borderId="0" xfId="0" applyFont="1" applyFill="1" applyAlignment="1">
      <alignment horizontal="left"/>
    </xf>
    <xf numFmtId="0" fontId="6" fillId="3" borderId="19" xfId="0" applyFont="1" applyFill="1" applyBorder="1" applyAlignment="1">
      <alignment horizontal="left"/>
    </xf>
    <xf numFmtId="0" fontId="5" fillId="3" borderId="18" xfId="0" applyFont="1" applyFill="1" applyBorder="1" applyAlignment="1">
      <alignment horizontal="left"/>
    </xf>
    <xf numFmtId="0" fontId="7" fillId="2" borderId="17" xfId="0" applyFont="1" applyFill="1" applyBorder="1" applyAlignment="1">
      <alignment horizontal="right"/>
    </xf>
    <xf numFmtId="0" fontId="7" fillId="2" borderId="8" xfId="0" applyFont="1" applyFill="1" applyBorder="1" applyAlignment="1">
      <alignment horizontal="right"/>
    </xf>
    <xf numFmtId="166" fontId="0" fillId="4" borderId="0" xfId="0" applyNumberFormat="1" applyFill="1"/>
    <xf numFmtId="9" fontId="0" fillId="4" borderId="0" xfId="0" applyNumberFormat="1" applyFill="1"/>
    <xf numFmtId="165" fontId="0" fillId="4" borderId="0" xfId="0" applyNumberFormat="1" applyFill="1"/>
    <xf numFmtId="0" fontId="8" fillId="0" borderId="0" xfId="0" applyFont="1" applyAlignment="1">
      <alignment vertical="top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3" fontId="0" fillId="0" borderId="7" xfId="0" applyNumberFormat="1" applyBorder="1" applyAlignment="1">
      <alignment vertical="center" wrapText="1"/>
    </xf>
    <xf numFmtId="9" fontId="0" fillId="0" borderId="7" xfId="0" applyNumberFormat="1" applyBorder="1" applyAlignment="1">
      <alignment vertical="center" wrapText="1"/>
    </xf>
    <xf numFmtId="165" fontId="0" fillId="0" borderId="5" xfId="0" applyNumberForma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3" fontId="0" fillId="0" borderId="14" xfId="0" applyNumberFormat="1" applyBorder="1" applyAlignment="1">
      <alignment vertical="center" wrapText="1"/>
    </xf>
    <xf numFmtId="9" fontId="0" fillId="0" borderId="14" xfId="0" applyNumberFormat="1" applyBorder="1" applyAlignment="1">
      <alignment vertical="center" wrapText="1"/>
    </xf>
    <xf numFmtId="165" fontId="0" fillId="0" borderId="6" xfId="0" applyNumberFormat="1" applyBorder="1" applyAlignment="1">
      <alignment vertical="center" wrapText="1"/>
    </xf>
    <xf numFmtId="165" fontId="0" fillId="0" borderId="6" xfId="0" applyNumberFormat="1" applyBorder="1"/>
    <xf numFmtId="166" fontId="1" fillId="0" borderId="16" xfId="0" applyNumberFormat="1" applyFont="1" applyBorder="1"/>
    <xf numFmtId="0" fontId="1" fillId="0" borderId="25" xfId="0" applyFont="1" applyBorder="1" applyAlignment="1">
      <alignment horizontal="left"/>
    </xf>
    <xf numFmtId="0" fontId="0" fillId="0" borderId="23" xfId="0" applyBorder="1"/>
    <xf numFmtId="0" fontId="6" fillId="0" borderId="22" xfId="0" applyFont="1" applyBorder="1" applyAlignment="1">
      <alignment horizontal="center"/>
    </xf>
    <xf numFmtId="0" fontId="0" fillId="0" borderId="24" xfId="0" applyBorder="1"/>
    <xf numFmtId="166" fontId="0" fillId="0" borderId="23" xfId="0" applyNumberFormat="1" applyBorder="1"/>
    <xf numFmtId="9" fontId="0" fillId="0" borderId="24" xfId="0" applyNumberFormat="1" applyBorder="1"/>
    <xf numFmtId="165" fontId="0" fillId="0" borderId="23" xfId="0" applyNumberFormat="1" applyBorder="1"/>
    <xf numFmtId="166" fontId="0" fillId="0" borderId="24" xfId="0" applyNumberFormat="1" applyBorder="1"/>
    <xf numFmtId="0" fontId="6" fillId="0" borderId="20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7" fontId="0" fillId="0" borderId="23" xfId="0" applyNumberFormat="1" applyBorder="1"/>
    <xf numFmtId="0" fontId="3" fillId="0" borderId="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7" xfId="0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3">
    <dxf>
      <numFmt numFmtId="2" formatCode="0.00"/>
    </dxf>
    <dxf>
      <numFmt numFmtId="2" formatCode="0.00"/>
    </dxf>
    <dxf>
      <numFmt numFmtId="164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Forcast_Final!$B$1</c:f>
              <c:strCache>
                <c:ptCount val="1"/>
                <c:pt idx="0">
                  <c:v>Values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B-40D1-B232-B8D29F4343E6}"/>
            </c:ext>
          </c:extLst>
        </c:ser>
        <c:ser>
          <c:idx val="1"/>
          <c:order val="1"/>
          <c:tx>
            <c:strRef>
              <c:f>Forcast_Final!$C$1</c:f>
              <c:strCache>
                <c:ptCount val="1"/>
                <c:pt idx="0">
                  <c:v>Forecast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Forcast_Final!$A$2:$A$458</c:f>
              <c:numCache>
                <c:formatCode>[$-409]d\-mmm;@</c:formatCode>
                <c:ptCount val="457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  <c:pt idx="366">
                  <c:v>46024</c:v>
                </c:pt>
                <c:pt idx="367">
                  <c:v>46025</c:v>
                </c:pt>
                <c:pt idx="368">
                  <c:v>46026</c:v>
                </c:pt>
                <c:pt idx="369">
                  <c:v>46027</c:v>
                </c:pt>
                <c:pt idx="370">
                  <c:v>46028</c:v>
                </c:pt>
                <c:pt idx="371">
                  <c:v>46029</c:v>
                </c:pt>
                <c:pt idx="372">
                  <c:v>46030</c:v>
                </c:pt>
                <c:pt idx="373">
                  <c:v>46031</c:v>
                </c:pt>
                <c:pt idx="374">
                  <c:v>46032</c:v>
                </c:pt>
                <c:pt idx="375">
                  <c:v>46033</c:v>
                </c:pt>
                <c:pt idx="376">
                  <c:v>46034</c:v>
                </c:pt>
                <c:pt idx="377">
                  <c:v>46035</c:v>
                </c:pt>
                <c:pt idx="378">
                  <c:v>46036</c:v>
                </c:pt>
                <c:pt idx="379">
                  <c:v>46037</c:v>
                </c:pt>
                <c:pt idx="380">
                  <c:v>46038</c:v>
                </c:pt>
                <c:pt idx="381">
                  <c:v>46039</c:v>
                </c:pt>
                <c:pt idx="382">
                  <c:v>46040</c:v>
                </c:pt>
                <c:pt idx="383">
                  <c:v>46041</c:v>
                </c:pt>
                <c:pt idx="384">
                  <c:v>46042</c:v>
                </c:pt>
                <c:pt idx="385">
                  <c:v>46043</c:v>
                </c:pt>
                <c:pt idx="386">
                  <c:v>46044</c:v>
                </c:pt>
                <c:pt idx="387">
                  <c:v>46045</c:v>
                </c:pt>
                <c:pt idx="388">
                  <c:v>46046</c:v>
                </c:pt>
                <c:pt idx="389">
                  <c:v>46047</c:v>
                </c:pt>
                <c:pt idx="390">
                  <c:v>46048</c:v>
                </c:pt>
                <c:pt idx="391">
                  <c:v>46049</c:v>
                </c:pt>
                <c:pt idx="392">
                  <c:v>46050</c:v>
                </c:pt>
                <c:pt idx="393">
                  <c:v>46051</c:v>
                </c:pt>
                <c:pt idx="394">
                  <c:v>46052</c:v>
                </c:pt>
                <c:pt idx="395">
                  <c:v>46053</c:v>
                </c:pt>
                <c:pt idx="396">
                  <c:v>46054</c:v>
                </c:pt>
                <c:pt idx="397">
                  <c:v>46055</c:v>
                </c:pt>
                <c:pt idx="398">
                  <c:v>46056</c:v>
                </c:pt>
                <c:pt idx="399">
                  <c:v>46057</c:v>
                </c:pt>
                <c:pt idx="400">
                  <c:v>46058</c:v>
                </c:pt>
                <c:pt idx="401">
                  <c:v>46059</c:v>
                </c:pt>
                <c:pt idx="402">
                  <c:v>46060</c:v>
                </c:pt>
                <c:pt idx="403">
                  <c:v>46061</c:v>
                </c:pt>
                <c:pt idx="404">
                  <c:v>46062</c:v>
                </c:pt>
                <c:pt idx="405">
                  <c:v>46063</c:v>
                </c:pt>
                <c:pt idx="406">
                  <c:v>46064</c:v>
                </c:pt>
                <c:pt idx="407">
                  <c:v>46065</c:v>
                </c:pt>
                <c:pt idx="408">
                  <c:v>46066</c:v>
                </c:pt>
                <c:pt idx="409">
                  <c:v>46067</c:v>
                </c:pt>
                <c:pt idx="410">
                  <c:v>46068</c:v>
                </c:pt>
                <c:pt idx="411">
                  <c:v>46069</c:v>
                </c:pt>
                <c:pt idx="412">
                  <c:v>46070</c:v>
                </c:pt>
                <c:pt idx="413">
                  <c:v>46071</c:v>
                </c:pt>
                <c:pt idx="414">
                  <c:v>46072</c:v>
                </c:pt>
                <c:pt idx="415">
                  <c:v>46073</c:v>
                </c:pt>
                <c:pt idx="416">
                  <c:v>46074</c:v>
                </c:pt>
                <c:pt idx="417">
                  <c:v>46075</c:v>
                </c:pt>
                <c:pt idx="418">
                  <c:v>46076</c:v>
                </c:pt>
                <c:pt idx="419">
                  <c:v>46077</c:v>
                </c:pt>
                <c:pt idx="420">
                  <c:v>46078</c:v>
                </c:pt>
                <c:pt idx="421">
                  <c:v>46079</c:v>
                </c:pt>
                <c:pt idx="422">
                  <c:v>46080</c:v>
                </c:pt>
                <c:pt idx="423">
                  <c:v>46081</c:v>
                </c:pt>
                <c:pt idx="424">
                  <c:v>46082</c:v>
                </c:pt>
                <c:pt idx="425">
                  <c:v>46083</c:v>
                </c:pt>
                <c:pt idx="426">
                  <c:v>46084</c:v>
                </c:pt>
                <c:pt idx="427">
                  <c:v>46085</c:v>
                </c:pt>
                <c:pt idx="428">
                  <c:v>46086</c:v>
                </c:pt>
                <c:pt idx="429">
                  <c:v>46087</c:v>
                </c:pt>
                <c:pt idx="430">
                  <c:v>46088</c:v>
                </c:pt>
                <c:pt idx="431">
                  <c:v>46089</c:v>
                </c:pt>
                <c:pt idx="432">
                  <c:v>46090</c:v>
                </c:pt>
                <c:pt idx="433">
                  <c:v>46091</c:v>
                </c:pt>
                <c:pt idx="434">
                  <c:v>46092</c:v>
                </c:pt>
                <c:pt idx="435">
                  <c:v>46093</c:v>
                </c:pt>
                <c:pt idx="436">
                  <c:v>46094</c:v>
                </c:pt>
                <c:pt idx="437">
                  <c:v>46095</c:v>
                </c:pt>
                <c:pt idx="438">
                  <c:v>46096</c:v>
                </c:pt>
                <c:pt idx="439">
                  <c:v>46097</c:v>
                </c:pt>
                <c:pt idx="440">
                  <c:v>46098</c:v>
                </c:pt>
                <c:pt idx="441">
                  <c:v>46099</c:v>
                </c:pt>
                <c:pt idx="442">
                  <c:v>46100</c:v>
                </c:pt>
                <c:pt idx="443">
                  <c:v>46101</c:v>
                </c:pt>
                <c:pt idx="444">
                  <c:v>46102</c:v>
                </c:pt>
                <c:pt idx="445">
                  <c:v>46103</c:v>
                </c:pt>
                <c:pt idx="446">
                  <c:v>46104</c:v>
                </c:pt>
                <c:pt idx="447">
                  <c:v>46105</c:v>
                </c:pt>
                <c:pt idx="448">
                  <c:v>46106</c:v>
                </c:pt>
                <c:pt idx="449">
                  <c:v>46107</c:v>
                </c:pt>
                <c:pt idx="450">
                  <c:v>46108</c:v>
                </c:pt>
                <c:pt idx="451">
                  <c:v>46109</c:v>
                </c:pt>
                <c:pt idx="452">
                  <c:v>46110</c:v>
                </c:pt>
                <c:pt idx="453">
                  <c:v>46111</c:v>
                </c:pt>
                <c:pt idx="454">
                  <c:v>46112</c:v>
                </c:pt>
                <c:pt idx="455">
                  <c:v>46113</c:v>
                </c:pt>
                <c:pt idx="456">
                  <c:v>46114</c:v>
                </c:pt>
              </c:numCache>
            </c:numRef>
          </c:cat>
          <c:val>
            <c:numRef>
              <c:f>Forcast_Final!$C$2:$C$458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4B-40D1-B232-B8D29F4343E6}"/>
            </c:ext>
          </c:extLst>
        </c:ser>
        <c:ser>
          <c:idx val="2"/>
          <c:order val="2"/>
          <c:tx>
            <c:strRef>
              <c:f>Forcast_Final!$D$1</c:f>
              <c:strCache>
                <c:ptCount val="1"/>
                <c:pt idx="0">
                  <c:v>Lower Confidence Bound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Forcast_Final!$A$2:$A$458</c:f>
              <c:numCache>
                <c:formatCode>[$-409]d\-mmm;@</c:formatCode>
                <c:ptCount val="457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  <c:pt idx="366">
                  <c:v>46024</c:v>
                </c:pt>
                <c:pt idx="367">
                  <c:v>46025</c:v>
                </c:pt>
                <c:pt idx="368">
                  <c:v>46026</c:v>
                </c:pt>
                <c:pt idx="369">
                  <c:v>46027</c:v>
                </c:pt>
                <c:pt idx="370">
                  <c:v>46028</c:v>
                </c:pt>
                <c:pt idx="371">
                  <c:v>46029</c:v>
                </c:pt>
                <c:pt idx="372">
                  <c:v>46030</c:v>
                </c:pt>
                <c:pt idx="373">
                  <c:v>46031</c:v>
                </c:pt>
                <c:pt idx="374">
                  <c:v>46032</c:v>
                </c:pt>
                <c:pt idx="375">
                  <c:v>46033</c:v>
                </c:pt>
                <c:pt idx="376">
                  <c:v>46034</c:v>
                </c:pt>
                <c:pt idx="377">
                  <c:v>46035</c:v>
                </c:pt>
                <c:pt idx="378">
                  <c:v>46036</c:v>
                </c:pt>
                <c:pt idx="379">
                  <c:v>46037</c:v>
                </c:pt>
                <c:pt idx="380">
                  <c:v>46038</c:v>
                </c:pt>
                <c:pt idx="381">
                  <c:v>46039</c:v>
                </c:pt>
                <c:pt idx="382">
                  <c:v>46040</c:v>
                </c:pt>
                <c:pt idx="383">
                  <c:v>46041</c:v>
                </c:pt>
                <c:pt idx="384">
                  <c:v>46042</c:v>
                </c:pt>
                <c:pt idx="385">
                  <c:v>46043</c:v>
                </c:pt>
                <c:pt idx="386">
                  <c:v>46044</c:v>
                </c:pt>
                <c:pt idx="387">
                  <c:v>46045</c:v>
                </c:pt>
                <c:pt idx="388">
                  <c:v>46046</c:v>
                </c:pt>
                <c:pt idx="389">
                  <c:v>46047</c:v>
                </c:pt>
                <c:pt idx="390">
                  <c:v>46048</c:v>
                </c:pt>
                <c:pt idx="391">
                  <c:v>46049</c:v>
                </c:pt>
                <c:pt idx="392">
                  <c:v>46050</c:v>
                </c:pt>
                <c:pt idx="393">
                  <c:v>46051</c:v>
                </c:pt>
                <c:pt idx="394">
                  <c:v>46052</c:v>
                </c:pt>
                <c:pt idx="395">
                  <c:v>46053</c:v>
                </c:pt>
                <c:pt idx="396">
                  <c:v>46054</c:v>
                </c:pt>
                <c:pt idx="397">
                  <c:v>46055</c:v>
                </c:pt>
                <c:pt idx="398">
                  <c:v>46056</c:v>
                </c:pt>
                <c:pt idx="399">
                  <c:v>46057</c:v>
                </c:pt>
                <c:pt idx="400">
                  <c:v>46058</c:v>
                </c:pt>
                <c:pt idx="401">
                  <c:v>46059</c:v>
                </c:pt>
                <c:pt idx="402">
                  <c:v>46060</c:v>
                </c:pt>
                <c:pt idx="403">
                  <c:v>46061</c:v>
                </c:pt>
                <c:pt idx="404">
                  <c:v>46062</c:v>
                </c:pt>
                <c:pt idx="405">
                  <c:v>46063</c:v>
                </c:pt>
                <c:pt idx="406">
                  <c:v>46064</c:v>
                </c:pt>
                <c:pt idx="407">
                  <c:v>46065</c:v>
                </c:pt>
                <c:pt idx="408">
                  <c:v>46066</c:v>
                </c:pt>
                <c:pt idx="409">
                  <c:v>46067</c:v>
                </c:pt>
                <c:pt idx="410">
                  <c:v>46068</c:v>
                </c:pt>
                <c:pt idx="411">
                  <c:v>46069</c:v>
                </c:pt>
                <c:pt idx="412">
                  <c:v>46070</c:v>
                </c:pt>
                <c:pt idx="413">
                  <c:v>46071</c:v>
                </c:pt>
                <c:pt idx="414">
                  <c:v>46072</c:v>
                </c:pt>
                <c:pt idx="415">
                  <c:v>46073</c:v>
                </c:pt>
                <c:pt idx="416">
                  <c:v>46074</c:v>
                </c:pt>
                <c:pt idx="417">
                  <c:v>46075</c:v>
                </c:pt>
                <c:pt idx="418">
                  <c:v>46076</c:v>
                </c:pt>
                <c:pt idx="419">
                  <c:v>46077</c:v>
                </c:pt>
                <c:pt idx="420">
                  <c:v>46078</c:v>
                </c:pt>
                <c:pt idx="421">
                  <c:v>46079</c:v>
                </c:pt>
                <c:pt idx="422">
                  <c:v>46080</c:v>
                </c:pt>
                <c:pt idx="423">
                  <c:v>46081</c:v>
                </c:pt>
                <c:pt idx="424">
                  <c:v>46082</c:v>
                </c:pt>
                <c:pt idx="425">
                  <c:v>46083</c:v>
                </c:pt>
                <c:pt idx="426">
                  <c:v>46084</c:v>
                </c:pt>
                <c:pt idx="427">
                  <c:v>46085</c:v>
                </c:pt>
                <c:pt idx="428">
                  <c:v>46086</c:v>
                </c:pt>
                <c:pt idx="429">
                  <c:v>46087</c:v>
                </c:pt>
                <c:pt idx="430">
                  <c:v>46088</c:v>
                </c:pt>
                <c:pt idx="431">
                  <c:v>46089</c:v>
                </c:pt>
                <c:pt idx="432">
                  <c:v>46090</c:v>
                </c:pt>
                <c:pt idx="433">
                  <c:v>46091</c:v>
                </c:pt>
                <c:pt idx="434">
                  <c:v>46092</c:v>
                </c:pt>
                <c:pt idx="435">
                  <c:v>46093</c:v>
                </c:pt>
                <c:pt idx="436">
                  <c:v>46094</c:v>
                </c:pt>
                <c:pt idx="437">
                  <c:v>46095</c:v>
                </c:pt>
                <c:pt idx="438">
                  <c:v>46096</c:v>
                </c:pt>
                <c:pt idx="439">
                  <c:v>46097</c:v>
                </c:pt>
                <c:pt idx="440">
                  <c:v>46098</c:v>
                </c:pt>
                <c:pt idx="441">
                  <c:v>46099</c:v>
                </c:pt>
                <c:pt idx="442">
                  <c:v>46100</c:v>
                </c:pt>
                <c:pt idx="443">
                  <c:v>46101</c:v>
                </c:pt>
                <c:pt idx="444">
                  <c:v>46102</c:v>
                </c:pt>
                <c:pt idx="445">
                  <c:v>46103</c:v>
                </c:pt>
                <c:pt idx="446">
                  <c:v>46104</c:v>
                </c:pt>
                <c:pt idx="447">
                  <c:v>46105</c:v>
                </c:pt>
                <c:pt idx="448">
                  <c:v>46106</c:v>
                </c:pt>
                <c:pt idx="449">
                  <c:v>46107</c:v>
                </c:pt>
                <c:pt idx="450">
                  <c:v>46108</c:v>
                </c:pt>
                <c:pt idx="451">
                  <c:v>46109</c:v>
                </c:pt>
                <c:pt idx="452">
                  <c:v>46110</c:v>
                </c:pt>
                <c:pt idx="453">
                  <c:v>46111</c:v>
                </c:pt>
                <c:pt idx="454">
                  <c:v>46112</c:v>
                </c:pt>
                <c:pt idx="455">
                  <c:v>46113</c:v>
                </c:pt>
                <c:pt idx="456">
                  <c:v>46114</c:v>
                </c:pt>
              </c:numCache>
            </c:numRef>
          </c:cat>
          <c:val>
            <c:numRef>
              <c:f>Forcast_Final!$D$2:$D$458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4B-40D1-B232-B8D29F4343E6}"/>
            </c:ext>
          </c:extLst>
        </c:ser>
        <c:ser>
          <c:idx val="3"/>
          <c:order val="3"/>
          <c:tx>
            <c:strRef>
              <c:f>Forcast_Final!$E$1</c:f>
              <c:strCache>
                <c:ptCount val="1"/>
                <c:pt idx="0">
                  <c:v>Upper Confidence Bound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Forcast_Final!$A$2:$A$458</c:f>
              <c:numCache>
                <c:formatCode>[$-409]d\-mmm;@</c:formatCode>
                <c:ptCount val="457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  <c:pt idx="366">
                  <c:v>46024</c:v>
                </c:pt>
                <c:pt idx="367">
                  <c:v>46025</c:v>
                </c:pt>
                <c:pt idx="368">
                  <c:v>46026</c:v>
                </c:pt>
                <c:pt idx="369">
                  <c:v>46027</c:v>
                </c:pt>
                <c:pt idx="370">
                  <c:v>46028</c:v>
                </c:pt>
                <c:pt idx="371">
                  <c:v>46029</c:v>
                </c:pt>
                <c:pt idx="372">
                  <c:v>46030</c:v>
                </c:pt>
                <c:pt idx="373">
                  <c:v>46031</c:v>
                </c:pt>
                <c:pt idx="374">
                  <c:v>46032</c:v>
                </c:pt>
                <c:pt idx="375">
                  <c:v>46033</c:v>
                </c:pt>
                <c:pt idx="376">
                  <c:v>46034</c:v>
                </c:pt>
                <c:pt idx="377">
                  <c:v>46035</c:v>
                </c:pt>
                <c:pt idx="378">
                  <c:v>46036</c:v>
                </c:pt>
                <c:pt idx="379">
                  <c:v>46037</c:v>
                </c:pt>
                <c:pt idx="380">
                  <c:v>46038</c:v>
                </c:pt>
                <c:pt idx="381">
                  <c:v>46039</c:v>
                </c:pt>
                <c:pt idx="382">
                  <c:v>46040</c:v>
                </c:pt>
                <c:pt idx="383">
                  <c:v>46041</c:v>
                </c:pt>
                <c:pt idx="384">
                  <c:v>46042</c:v>
                </c:pt>
                <c:pt idx="385">
                  <c:v>46043</c:v>
                </c:pt>
                <c:pt idx="386">
                  <c:v>46044</c:v>
                </c:pt>
                <c:pt idx="387">
                  <c:v>46045</c:v>
                </c:pt>
                <c:pt idx="388">
                  <c:v>46046</c:v>
                </c:pt>
                <c:pt idx="389">
                  <c:v>46047</c:v>
                </c:pt>
                <c:pt idx="390">
                  <c:v>46048</c:v>
                </c:pt>
                <c:pt idx="391">
                  <c:v>46049</c:v>
                </c:pt>
                <c:pt idx="392">
                  <c:v>46050</c:v>
                </c:pt>
                <c:pt idx="393">
                  <c:v>46051</c:v>
                </c:pt>
                <c:pt idx="394">
                  <c:v>46052</c:v>
                </c:pt>
                <c:pt idx="395">
                  <c:v>46053</c:v>
                </c:pt>
                <c:pt idx="396">
                  <c:v>46054</c:v>
                </c:pt>
                <c:pt idx="397">
                  <c:v>46055</c:v>
                </c:pt>
                <c:pt idx="398">
                  <c:v>46056</c:v>
                </c:pt>
                <c:pt idx="399">
                  <c:v>46057</c:v>
                </c:pt>
                <c:pt idx="400">
                  <c:v>46058</c:v>
                </c:pt>
                <c:pt idx="401">
                  <c:v>46059</c:v>
                </c:pt>
                <c:pt idx="402">
                  <c:v>46060</c:v>
                </c:pt>
                <c:pt idx="403">
                  <c:v>46061</c:v>
                </c:pt>
                <c:pt idx="404">
                  <c:v>46062</c:v>
                </c:pt>
                <c:pt idx="405">
                  <c:v>46063</c:v>
                </c:pt>
                <c:pt idx="406">
                  <c:v>46064</c:v>
                </c:pt>
                <c:pt idx="407">
                  <c:v>46065</c:v>
                </c:pt>
                <c:pt idx="408">
                  <c:v>46066</c:v>
                </c:pt>
                <c:pt idx="409">
                  <c:v>46067</c:v>
                </c:pt>
                <c:pt idx="410">
                  <c:v>46068</c:v>
                </c:pt>
                <c:pt idx="411">
                  <c:v>46069</c:v>
                </c:pt>
                <c:pt idx="412">
                  <c:v>46070</c:v>
                </c:pt>
                <c:pt idx="413">
                  <c:v>46071</c:v>
                </c:pt>
                <c:pt idx="414">
                  <c:v>46072</c:v>
                </c:pt>
                <c:pt idx="415">
                  <c:v>46073</c:v>
                </c:pt>
                <c:pt idx="416">
                  <c:v>46074</c:v>
                </c:pt>
                <c:pt idx="417">
                  <c:v>46075</c:v>
                </c:pt>
                <c:pt idx="418">
                  <c:v>46076</c:v>
                </c:pt>
                <c:pt idx="419">
                  <c:v>46077</c:v>
                </c:pt>
                <c:pt idx="420">
                  <c:v>46078</c:v>
                </c:pt>
                <c:pt idx="421">
                  <c:v>46079</c:v>
                </c:pt>
                <c:pt idx="422">
                  <c:v>46080</c:v>
                </c:pt>
                <c:pt idx="423">
                  <c:v>46081</c:v>
                </c:pt>
                <c:pt idx="424">
                  <c:v>46082</c:v>
                </c:pt>
                <c:pt idx="425">
                  <c:v>46083</c:v>
                </c:pt>
                <c:pt idx="426">
                  <c:v>46084</c:v>
                </c:pt>
                <c:pt idx="427">
                  <c:v>46085</c:v>
                </c:pt>
                <c:pt idx="428">
                  <c:v>46086</c:v>
                </c:pt>
                <c:pt idx="429">
                  <c:v>46087</c:v>
                </c:pt>
                <c:pt idx="430">
                  <c:v>46088</c:v>
                </c:pt>
                <c:pt idx="431">
                  <c:v>46089</c:v>
                </c:pt>
                <c:pt idx="432">
                  <c:v>46090</c:v>
                </c:pt>
                <c:pt idx="433">
                  <c:v>46091</c:v>
                </c:pt>
                <c:pt idx="434">
                  <c:v>46092</c:v>
                </c:pt>
                <c:pt idx="435">
                  <c:v>46093</c:v>
                </c:pt>
                <c:pt idx="436">
                  <c:v>46094</c:v>
                </c:pt>
                <c:pt idx="437">
                  <c:v>46095</c:v>
                </c:pt>
                <c:pt idx="438">
                  <c:v>46096</c:v>
                </c:pt>
                <c:pt idx="439">
                  <c:v>46097</c:v>
                </c:pt>
                <c:pt idx="440">
                  <c:v>46098</c:v>
                </c:pt>
                <c:pt idx="441">
                  <c:v>46099</c:v>
                </c:pt>
                <c:pt idx="442">
                  <c:v>46100</c:v>
                </c:pt>
                <c:pt idx="443">
                  <c:v>46101</c:v>
                </c:pt>
                <c:pt idx="444">
                  <c:v>46102</c:v>
                </c:pt>
                <c:pt idx="445">
                  <c:v>46103</c:v>
                </c:pt>
                <c:pt idx="446">
                  <c:v>46104</c:v>
                </c:pt>
                <c:pt idx="447">
                  <c:v>46105</c:v>
                </c:pt>
                <c:pt idx="448">
                  <c:v>46106</c:v>
                </c:pt>
                <c:pt idx="449">
                  <c:v>46107</c:v>
                </c:pt>
                <c:pt idx="450">
                  <c:v>46108</c:v>
                </c:pt>
                <c:pt idx="451">
                  <c:v>46109</c:v>
                </c:pt>
                <c:pt idx="452">
                  <c:v>46110</c:v>
                </c:pt>
                <c:pt idx="453">
                  <c:v>46111</c:v>
                </c:pt>
                <c:pt idx="454">
                  <c:v>46112</c:v>
                </c:pt>
                <c:pt idx="455">
                  <c:v>46113</c:v>
                </c:pt>
                <c:pt idx="456">
                  <c:v>46114</c:v>
                </c:pt>
              </c:numCache>
            </c:numRef>
          </c:cat>
          <c:val>
            <c:numRef>
              <c:f>Forcast_Final!$E$2:$E$458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A4B-40D1-B232-B8D29F434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390255"/>
        <c:axId val="201390735"/>
      </c:lineChart>
      <c:catAx>
        <c:axId val="201390255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90735"/>
        <c:crosses val="autoZero"/>
        <c:auto val="1"/>
        <c:lblAlgn val="ctr"/>
        <c:lblOffset val="100"/>
        <c:noMultiLvlLbl val="0"/>
      </c:catAx>
      <c:valAx>
        <c:axId val="20139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9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182880</xdr:colOff>
      <xdr:row>4</xdr:row>
      <xdr:rowOff>171450</xdr:rowOff>
    </xdr:from>
    <xdr:to>
      <xdr:col>18</xdr:col>
      <xdr:colOff>535305</xdr:colOff>
      <xdr:row>24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A8E285-D225-93BB-4129-C55666F56F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F8F0E1-B99E-4243-8724-CDB2DF73148B}" name="Table7" displayName="Table7" ref="A1:E458" totalsRowShown="0">
  <autoFilter ref="A1:E458" xr:uid="{80F8F0E1-B99E-4243-8724-CDB2DF73148B}"/>
  <tableColumns count="5">
    <tableColumn id="1" xr3:uid="{6DDC1089-C392-4EE2-BA70-A654FD7974C7}" name="Timeline" dataDxfId="2"/>
    <tableColumn id="2" xr3:uid="{D7A1686D-2C59-4936-B885-D5698C148C05}" name="Values"/>
    <tableColumn id="3" xr3:uid="{51D29E8E-90F1-4DA8-B75A-4C502DBCF424}" name="Forecast">
      <calculatedColumnFormula>_xlfn.FORECAST.ETS(A2,$B$2:$B$366,$A$2:$A$366,1,1)</calculatedColumnFormula>
    </tableColumn>
    <tableColumn id="4" xr3:uid="{98369B1F-1BEB-45C6-B12A-48637763B9EF}" name="Lower Confidence Bound" dataDxfId="1">
      <calculatedColumnFormula>C2-_xlfn.FORECAST.ETS.CONFINT(A2,$B$2:$B$366,$A$2:$A$366,0.95,1,1)</calculatedColumnFormula>
    </tableColumn>
    <tableColumn id="5" xr3:uid="{6AA7C26A-0E20-4FB9-811D-93DB95D1652C}" name="Upper Confidence Bound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BFA91-8687-4858-9C6A-C8EE30C6772B}">
  <dimension ref="A1:B366"/>
  <sheetViews>
    <sheetView workbookViewId="0">
      <selection activeCell="D16" sqref="D16"/>
    </sheetView>
  </sheetViews>
  <sheetFormatPr defaultRowHeight="14.4" x14ac:dyDescent="0.3"/>
  <sheetData>
    <row r="1" spans="1:2" ht="15" thickBot="1" x14ac:dyDescent="0.35">
      <c r="A1" s="1" t="s">
        <v>0</v>
      </c>
      <c r="B1" s="2" t="s">
        <v>1</v>
      </c>
    </row>
    <row r="2" spans="1:2" x14ac:dyDescent="0.3">
      <c r="A2" s="3">
        <v>45658</v>
      </c>
      <c r="B2" s="4">
        <v>28</v>
      </c>
    </row>
    <row r="3" spans="1:2" x14ac:dyDescent="0.3">
      <c r="A3" s="3">
        <v>45659</v>
      </c>
      <c r="B3" s="5">
        <v>88</v>
      </c>
    </row>
    <row r="4" spans="1:2" x14ac:dyDescent="0.3">
      <c r="A4" s="3">
        <v>45660</v>
      </c>
      <c r="B4" s="5">
        <v>177</v>
      </c>
    </row>
    <row r="5" spans="1:2" x14ac:dyDescent="0.3">
      <c r="A5" s="3">
        <v>45661</v>
      </c>
      <c r="B5" s="5">
        <v>176</v>
      </c>
    </row>
    <row r="6" spans="1:2" x14ac:dyDescent="0.3">
      <c r="A6" s="3">
        <v>45662</v>
      </c>
      <c r="B6" s="5">
        <v>133</v>
      </c>
    </row>
    <row r="7" spans="1:2" x14ac:dyDescent="0.3">
      <c r="A7" s="3">
        <v>45663</v>
      </c>
      <c r="B7" s="5">
        <v>106</v>
      </c>
    </row>
    <row r="8" spans="1:2" x14ac:dyDescent="0.3">
      <c r="A8" s="3">
        <v>45664</v>
      </c>
      <c r="B8" s="5">
        <v>60</v>
      </c>
    </row>
    <row r="9" spans="1:2" x14ac:dyDescent="0.3">
      <c r="A9" s="3">
        <v>45665</v>
      </c>
      <c r="B9" s="5">
        <v>38</v>
      </c>
    </row>
    <row r="10" spans="1:2" x14ac:dyDescent="0.3">
      <c r="A10" s="3">
        <v>45666</v>
      </c>
      <c r="B10" s="5">
        <v>122</v>
      </c>
    </row>
    <row r="11" spans="1:2" x14ac:dyDescent="0.3">
      <c r="A11" s="3">
        <v>45667</v>
      </c>
      <c r="B11" s="5">
        <v>150</v>
      </c>
    </row>
    <row r="12" spans="1:2" x14ac:dyDescent="0.3">
      <c r="A12" s="3">
        <v>45668</v>
      </c>
      <c r="B12" s="5">
        <v>167</v>
      </c>
    </row>
    <row r="13" spans="1:2" x14ac:dyDescent="0.3">
      <c r="A13" s="3">
        <v>45669</v>
      </c>
      <c r="B13" s="5">
        <v>125</v>
      </c>
    </row>
    <row r="14" spans="1:2" x14ac:dyDescent="0.3">
      <c r="A14" s="3">
        <v>45670</v>
      </c>
      <c r="B14" s="5">
        <v>110</v>
      </c>
    </row>
    <row r="15" spans="1:2" x14ac:dyDescent="0.3">
      <c r="A15" s="3">
        <v>45671</v>
      </c>
      <c r="B15" s="5">
        <v>63</v>
      </c>
    </row>
    <row r="16" spans="1:2" x14ac:dyDescent="0.3">
      <c r="A16" s="3">
        <v>45672</v>
      </c>
      <c r="B16" s="5">
        <v>23</v>
      </c>
    </row>
    <row r="17" spans="1:2" x14ac:dyDescent="0.3">
      <c r="A17" s="3">
        <v>45673</v>
      </c>
      <c r="B17" s="5">
        <v>98</v>
      </c>
    </row>
    <row r="18" spans="1:2" x14ac:dyDescent="0.3">
      <c r="A18" s="3">
        <v>45674</v>
      </c>
      <c r="B18" s="5">
        <v>107</v>
      </c>
    </row>
    <row r="19" spans="1:2" x14ac:dyDescent="0.3">
      <c r="A19" s="3">
        <v>45675</v>
      </c>
      <c r="B19" s="5">
        <v>126</v>
      </c>
    </row>
    <row r="20" spans="1:2" x14ac:dyDescent="0.3">
      <c r="A20" s="3">
        <v>45676</v>
      </c>
      <c r="B20" s="5">
        <v>113</v>
      </c>
    </row>
    <row r="21" spans="1:2" x14ac:dyDescent="0.3">
      <c r="A21" s="3">
        <v>45677</v>
      </c>
      <c r="B21" s="5">
        <v>111</v>
      </c>
    </row>
    <row r="22" spans="1:2" x14ac:dyDescent="0.3">
      <c r="A22" s="3">
        <v>45678</v>
      </c>
      <c r="B22" s="5">
        <v>49</v>
      </c>
    </row>
    <row r="23" spans="1:2" x14ac:dyDescent="0.3">
      <c r="A23" s="3">
        <v>45679</v>
      </c>
      <c r="B23" s="5">
        <v>37</v>
      </c>
    </row>
    <row r="24" spans="1:2" x14ac:dyDescent="0.3">
      <c r="A24" s="3">
        <v>45680</v>
      </c>
      <c r="B24" s="5">
        <v>118</v>
      </c>
    </row>
    <row r="25" spans="1:2" x14ac:dyDescent="0.3">
      <c r="A25" s="3">
        <v>45681</v>
      </c>
      <c r="B25" s="5">
        <v>115</v>
      </c>
    </row>
    <row r="26" spans="1:2" x14ac:dyDescent="0.3">
      <c r="A26" s="3">
        <v>45682</v>
      </c>
      <c r="B26" s="5">
        <v>136</v>
      </c>
    </row>
    <row r="27" spans="1:2" x14ac:dyDescent="0.3">
      <c r="A27" s="3">
        <v>45683</v>
      </c>
      <c r="B27" s="5">
        <v>111</v>
      </c>
    </row>
    <row r="28" spans="1:2" x14ac:dyDescent="0.3">
      <c r="A28" s="3">
        <v>45684</v>
      </c>
      <c r="B28" s="5">
        <v>122</v>
      </c>
    </row>
    <row r="29" spans="1:2" x14ac:dyDescent="0.3">
      <c r="A29" s="3">
        <v>45685</v>
      </c>
      <c r="B29" s="5">
        <v>52</v>
      </c>
    </row>
    <row r="30" spans="1:2" x14ac:dyDescent="0.3">
      <c r="A30" s="3">
        <v>45686</v>
      </c>
      <c r="B30" s="5">
        <v>55</v>
      </c>
    </row>
    <row r="31" spans="1:2" x14ac:dyDescent="0.3">
      <c r="A31" s="3">
        <v>45687</v>
      </c>
      <c r="B31" s="5">
        <v>74</v>
      </c>
    </row>
    <row r="32" spans="1:2" x14ac:dyDescent="0.3">
      <c r="A32" s="3">
        <v>45688</v>
      </c>
      <c r="B32" s="5">
        <v>112</v>
      </c>
    </row>
    <row r="33" spans="1:2" x14ac:dyDescent="0.3">
      <c r="A33" s="3">
        <v>45689</v>
      </c>
      <c r="B33" s="5">
        <v>97</v>
      </c>
    </row>
    <row r="34" spans="1:2" x14ac:dyDescent="0.3">
      <c r="A34" s="3">
        <v>45690</v>
      </c>
      <c r="B34" s="5">
        <v>119</v>
      </c>
    </row>
    <row r="35" spans="1:2" x14ac:dyDescent="0.3">
      <c r="A35" s="3">
        <v>45691</v>
      </c>
      <c r="B35" s="5">
        <v>123</v>
      </c>
    </row>
    <row r="36" spans="1:2" x14ac:dyDescent="0.3">
      <c r="A36" s="3">
        <v>45692</v>
      </c>
      <c r="B36" s="5">
        <v>48</v>
      </c>
    </row>
    <row r="37" spans="1:2" x14ac:dyDescent="0.3">
      <c r="A37" s="3">
        <v>45693</v>
      </c>
      <c r="B37" s="5">
        <v>21</v>
      </c>
    </row>
    <row r="38" spans="1:2" x14ac:dyDescent="0.3">
      <c r="A38" s="3">
        <v>45694</v>
      </c>
      <c r="B38" s="5">
        <v>89</v>
      </c>
    </row>
    <row r="39" spans="1:2" x14ac:dyDescent="0.3">
      <c r="A39" s="3">
        <v>45695</v>
      </c>
      <c r="B39" s="5">
        <v>120</v>
      </c>
    </row>
    <row r="40" spans="1:2" x14ac:dyDescent="0.3">
      <c r="A40" s="3">
        <v>45696</v>
      </c>
      <c r="B40" s="5">
        <v>116</v>
      </c>
    </row>
    <row r="41" spans="1:2" x14ac:dyDescent="0.3">
      <c r="A41" s="3">
        <v>45697</v>
      </c>
      <c r="B41" s="5">
        <v>138</v>
      </c>
    </row>
    <row r="42" spans="1:2" x14ac:dyDescent="0.3">
      <c r="A42" s="3">
        <v>45698</v>
      </c>
      <c r="B42" s="5">
        <v>95</v>
      </c>
    </row>
    <row r="43" spans="1:2" x14ac:dyDescent="0.3">
      <c r="A43" s="3">
        <v>45699</v>
      </c>
      <c r="B43" s="5">
        <v>58</v>
      </c>
    </row>
    <row r="44" spans="1:2" x14ac:dyDescent="0.3">
      <c r="A44" s="3">
        <v>45700</v>
      </c>
      <c r="B44" s="5">
        <v>27</v>
      </c>
    </row>
    <row r="45" spans="1:2" x14ac:dyDescent="0.3">
      <c r="A45" s="3">
        <v>45701</v>
      </c>
      <c r="B45" s="5">
        <v>109</v>
      </c>
    </row>
    <row r="46" spans="1:2" x14ac:dyDescent="0.3">
      <c r="A46" s="3">
        <v>45702</v>
      </c>
      <c r="B46" s="5">
        <v>119</v>
      </c>
    </row>
    <row r="47" spans="1:2" x14ac:dyDescent="0.3">
      <c r="A47" s="3">
        <v>45703</v>
      </c>
      <c r="B47" s="5">
        <v>107</v>
      </c>
    </row>
    <row r="48" spans="1:2" x14ac:dyDescent="0.3">
      <c r="A48" s="3">
        <v>45704</v>
      </c>
      <c r="B48" s="5">
        <v>140</v>
      </c>
    </row>
    <row r="49" spans="1:2" x14ac:dyDescent="0.3">
      <c r="A49" s="3">
        <v>45705</v>
      </c>
      <c r="B49" s="5">
        <v>121</v>
      </c>
    </row>
    <row r="50" spans="1:2" x14ac:dyDescent="0.3">
      <c r="A50" s="3">
        <v>45706</v>
      </c>
      <c r="B50" s="5">
        <v>40</v>
      </c>
    </row>
    <row r="51" spans="1:2" x14ac:dyDescent="0.3">
      <c r="A51" s="3">
        <v>45707</v>
      </c>
      <c r="B51" s="5">
        <v>25</v>
      </c>
    </row>
    <row r="52" spans="1:2" x14ac:dyDescent="0.3">
      <c r="A52" s="3">
        <v>45708</v>
      </c>
      <c r="B52" s="5">
        <v>84</v>
      </c>
    </row>
    <row r="53" spans="1:2" x14ac:dyDescent="0.3">
      <c r="A53" s="3">
        <v>45709</v>
      </c>
      <c r="B53" s="5">
        <v>89</v>
      </c>
    </row>
    <row r="54" spans="1:2" x14ac:dyDescent="0.3">
      <c r="A54" s="3">
        <v>45710</v>
      </c>
      <c r="B54" s="5">
        <v>100</v>
      </c>
    </row>
    <row r="55" spans="1:2" x14ac:dyDescent="0.3">
      <c r="A55" s="3">
        <v>45711</v>
      </c>
      <c r="B55" s="5">
        <v>124</v>
      </c>
    </row>
    <row r="56" spans="1:2" x14ac:dyDescent="0.3">
      <c r="A56" s="3">
        <v>45712</v>
      </c>
      <c r="B56" s="5">
        <v>119</v>
      </c>
    </row>
    <row r="57" spans="1:2" x14ac:dyDescent="0.3">
      <c r="A57" s="3">
        <v>45713</v>
      </c>
      <c r="B57" s="5">
        <v>42</v>
      </c>
    </row>
    <row r="58" spans="1:2" x14ac:dyDescent="0.3">
      <c r="A58" s="3">
        <v>45714</v>
      </c>
      <c r="B58" s="5">
        <v>32</v>
      </c>
    </row>
    <row r="59" spans="1:2" x14ac:dyDescent="0.3">
      <c r="A59" s="3">
        <v>45715</v>
      </c>
      <c r="B59" s="5">
        <v>108</v>
      </c>
    </row>
    <row r="60" spans="1:2" x14ac:dyDescent="0.3">
      <c r="A60" s="3">
        <v>45716</v>
      </c>
      <c r="B60" s="5">
        <v>123</v>
      </c>
    </row>
    <row r="61" spans="1:2" x14ac:dyDescent="0.3">
      <c r="A61" s="3">
        <v>45717</v>
      </c>
      <c r="B61" s="5">
        <v>104</v>
      </c>
    </row>
    <row r="62" spans="1:2" x14ac:dyDescent="0.3">
      <c r="A62" s="3">
        <v>45718</v>
      </c>
      <c r="B62" s="5">
        <v>101</v>
      </c>
    </row>
    <row r="63" spans="1:2" x14ac:dyDescent="0.3">
      <c r="A63" s="3">
        <v>45719</v>
      </c>
      <c r="B63" s="5">
        <v>100</v>
      </c>
    </row>
    <row r="64" spans="1:2" x14ac:dyDescent="0.3">
      <c r="A64" s="3">
        <v>45720</v>
      </c>
      <c r="B64" s="5">
        <v>43</v>
      </c>
    </row>
    <row r="65" spans="1:2" x14ac:dyDescent="0.3">
      <c r="A65" s="3">
        <v>45721</v>
      </c>
      <c r="B65" s="5">
        <v>30</v>
      </c>
    </row>
    <row r="66" spans="1:2" x14ac:dyDescent="0.3">
      <c r="A66" s="3">
        <v>45722</v>
      </c>
      <c r="B66" s="5">
        <v>84</v>
      </c>
    </row>
    <row r="67" spans="1:2" x14ac:dyDescent="0.3">
      <c r="A67" s="3">
        <v>45723</v>
      </c>
      <c r="B67" s="5">
        <v>140</v>
      </c>
    </row>
    <row r="68" spans="1:2" x14ac:dyDescent="0.3">
      <c r="A68" s="3">
        <v>45724</v>
      </c>
      <c r="B68" s="5">
        <v>150</v>
      </c>
    </row>
    <row r="69" spans="1:2" x14ac:dyDescent="0.3">
      <c r="A69" s="3">
        <v>45725</v>
      </c>
      <c r="B69" s="5">
        <v>127</v>
      </c>
    </row>
    <row r="70" spans="1:2" x14ac:dyDescent="0.3">
      <c r="A70" s="3">
        <v>45726</v>
      </c>
      <c r="B70" s="5">
        <v>113</v>
      </c>
    </row>
    <row r="71" spans="1:2" x14ac:dyDescent="0.3">
      <c r="A71" s="3">
        <v>45727</v>
      </c>
      <c r="B71" s="5">
        <v>47</v>
      </c>
    </row>
    <row r="72" spans="1:2" x14ac:dyDescent="0.3">
      <c r="A72" s="3">
        <v>45728</v>
      </c>
      <c r="B72" s="5">
        <v>36</v>
      </c>
    </row>
    <row r="73" spans="1:2" x14ac:dyDescent="0.3">
      <c r="A73" s="3">
        <v>45729</v>
      </c>
      <c r="B73" s="5">
        <v>120</v>
      </c>
    </row>
    <row r="74" spans="1:2" x14ac:dyDescent="0.3">
      <c r="A74" s="3">
        <v>45730</v>
      </c>
      <c r="B74" s="5">
        <v>129</v>
      </c>
    </row>
    <row r="75" spans="1:2" x14ac:dyDescent="0.3">
      <c r="A75" s="3">
        <v>45731</v>
      </c>
      <c r="B75" s="5">
        <v>117</v>
      </c>
    </row>
    <row r="76" spans="1:2" x14ac:dyDescent="0.3">
      <c r="A76" s="3">
        <v>45732</v>
      </c>
      <c r="B76" s="5">
        <v>87</v>
      </c>
    </row>
    <row r="77" spans="1:2" x14ac:dyDescent="0.3">
      <c r="A77" s="3">
        <v>45733</v>
      </c>
      <c r="B77" s="5">
        <v>98</v>
      </c>
    </row>
    <row r="78" spans="1:2" x14ac:dyDescent="0.3">
      <c r="A78" s="3">
        <v>45734</v>
      </c>
      <c r="B78" s="5">
        <v>34</v>
      </c>
    </row>
    <row r="79" spans="1:2" x14ac:dyDescent="0.3">
      <c r="A79" s="3">
        <v>45735</v>
      </c>
      <c r="B79" s="5">
        <v>25</v>
      </c>
    </row>
    <row r="80" spans="1:2" x14ac:dyDescent="0.3">
      <c r="A80" s="3">
        <v>45736</v>
      </c>
      <c r="B80" s="5">
        <v>121</v>
      </c>
    </row>
    <row r="81" spans="1:2" x14ac:dyDescent="0.3">
      <c r="A81" s="3">
        <v>45737</v>
      </c>
      <c r="B81" s="5">
        <v>115</v>
      </c>
    </row>
    <row r="82" spans="1:2" x14ac:dyDescent="0.3">
      <c r="A82" s="3">
        <v>45738</v>
      </c>
      <c r="B82" s="5">
        <v>116</v>
      </c>
    </row>
    <row r="83" spans="1:2" x14ac:dyDescent="0.3">
      <c r="A83" s="3">
        <v>45739</v>
      </c>
      <c r="B83" s="5">
        <v>105</v>
      </c>
    </row>
    <row r="84" spans="1:2" x14ac:dyDescent="0.3">
      <c r="A84" s="3">
        <v>45740</v>
      </c>
      <c r="B84" s="5">
        <v>101</v>
      </c>
    </row>
    <row r="85" spans="1:2" x14ac:dyDescent="0.3">
      <c r="A85" s="3">
        <v>45741</v>
      </c>
      <c r="B85" s="5">
        <v>47</v>
      </c>
    </row>
    <row r="86" spans="1:2" x14ac:dyDescent="0.3">
      <c r="A86" s="3">
        <v>45742</v>
      </c>
      <c r="B86" s="5">
        <v>55</v>
      </c>
    </row>
    <row r="87" spans="1:2" x14ac:dyDescent="0.3">
      <c r="A87" s="3">
        <v>45743</v>
      </c>
      <c r="B87" s="5">
        <v>106</v>
      </c>
    </row>
    <row r="88" spans="1:2" x14ac:dyDescent="0.3">
      <c r="A88" s="3">
        <v>45744</v>
      </c>
      <c r="B88" s="5">
        <v>124</v>
      </c>
    </row>
    <row r="89" spans="1:2" x14ac:dyDescent="0.3">
      <c r="A89" s="3">
        <v>45745</v>
      </c>
      <c r="B89" s="5">
        <v>139</v>
      </c>
    </row>
    <row r="90" spans="1:2" x14ac:dyDescent="0.3">
      <c r="A90" s="3">
        <v>45746</v>
      </c>
      <c r="B90" s="5">
        <v>100</v>
      </c>
    </row>
    <row r="91" spans="1:2" x14ac:dyDescent="0.3">
      <c r="A91" s="3">
        <v>45747</v>
      </c>
      <c r="B91" s="5">
        <v>113</v>
      </c>
    </row>
    <row r="92" spans="1:2" x14ac:dyDescent="0.3">
      <c r="A92" s="3">
        <v>45748</v>
      </c>
      <c r="B92" s="5">
        <v>37</v>
      </c>
    </row>
    <row r="93" spans="1:2" x14ac:dyDescent="0.3">
      <c r="A93" s="3">
        <v>45749</v>
      </c>
      <c r="B93" s="5">
        <v>20</v>
      </c>
    </row>
    <row r="94" spans="1:2" x14ac:dyDescent="0.3">
      <c r="A94" s="3">
        <v>45750</v>
      </c>
      <c r="B94" s="5">
        <v>93</v>
      </c>
    </row>
    <row r="95" spans="1:2" x14ac:dyDescent="0.3">
      <c r="A95" s="3">
        <v>45751</v>
      </c>
      <c r="B95" s="5">
        <v>116</v>
      </c>
    </row>
    <row r="96" spans="1:2" x14ac:dyDescent="0.3">
      <c r="A96" s="3">
        <v>45752</v>
      </c>
      <c r="B96" s="5">
        <v>129</v>
      </c>
    </row>
    <row r="97" spans="1:2" x14ac:dyDescent="0.3">
      <c r="A97" s="3">
        <v>45753</v>
      </c>
      <c r="B97" s="5">
        <v>108</v>
      </c>
    </row>
    <row r="98" spans="1:2" x14ac:dyDescent="0.3">
      <c r="A98" s="3">
        <v>45754</v>
      </c>
      <c r="B98" s="5">
        <v>71</v>
      </c>
    </row>
    <row r="99" spans="1:2" x14ac:dyDescent="0.3">
      <c r="A99" s="3">
        <v>45755</v>
      </c>
      <c r="B99" s="5">
        <v>31</v>
      </c>
    </row>
    <row r="100" spans="1:2" x14ac:dyDescent="0.3">
      <c r="A100" s="3">
        <v>45756</v>
      </c>
      <c r="B100" s="5">
        <v>22</v>
      </c>
    </row>
    <row r="101" spans="1:2" x14ac:dyDescent="0.3">
      <c r="A101" s="3">
        <v>45757</v>
      </c>
      <c r="B101" s="5">
        <v>66</v>
      </c>
    </row>
    <row r="102" spans="1:2" x14ac:dyDescent="0.3">
      <c r="A102" s="3">
        <v>45758</v>
      </c>
      <c r="B102" s="5">
        <v>91</v>
      </c>
    </row>
    <row r="103" spans="1:2" x14ac:dyDescent="0.3">
      <c r="A103" s="3">
        <v>45759</v>
      </c>
      <c r="B103" s="5">
        <v>152</v>
      </c>
    </row>
    <row r="104" spans="1:2" x14ac:dyDescent="0.3">
      <c r="A104" s="3">
        <v>45760</v>
      </c>
      <c r="B104" s="5">
        <v>120</v>
      </c>
    </row>
    <row r="105" spans="1:2" x14ac:dyDescent="0.3">
      <c r="A105" s="3">
        <v>45761</v>
      </c>
      <c r="B105" s="5">
        <v>105</v>
      </c>
    </row>
    <row r="106" spans="1:2" x14ac:dyDescent="0.3">
      <c r="A106" s="3">
        <v>45762</v>
      </c>
      <c r="B106" s="5">
        <v>43</v>
      </c>
    </row>
    <row r="107" spans="1:2" x14ac:dyDescent="0.3">
      <c r="A107" s="3">
        <v>45763</v>
      </c>
      <c r="B107" s="5">
        <v>9</v>
      </c>
    </row>
    <row r="108" spans="1:2" x14ac:dyDescent="0.3">
      <c r="A108" s="3">
        <v>45764</v>
      </c>
      <c r="B108" s="5">
        <v>105</v>
      </c>
    </row>
    <row r="109" spans="1:2" x14ac:dyDescent="0.3">
      <c r="A109" s="3">
        <v>45765</v>
      </c>
      <c r="B109" s="5">
        <v>143</v>
      </c>
    </row>
    <row r="110" spans="1:2" x14ac:dyDescent="0.3">
      <c r="A110" s="3">
        <v>45766</v>
      </c>
      <c r="B110" s="5">
        <v>118</v>
      </c>
    </row>
    <row r="111" spans="1:2" x14ac:dyDescent="0.3">
      <c r="A111" s="3">
        <v>45767</v>
      </c>
      <c r="B111" s="5">
        <v>90</v>
      </c>
    </row>
    <row r="112" spans="1:2" x14ac:dyDescent="0.3">
      <c r="A112" s="3">
        <v>45768</v>
      </c>
      <c r="B112" s="5">
        <v>140</v>
      </c>
    </row>
    <row r="113" spans="1:2" x14ac:dyDescent="0.3">
      <c r="A113" s="3">
        <v>45769</v>
      </c>
      <c r="B113" s="5">
        <v>29</v>
      </c>
    </row>
    <row r="114" spans="1:2" x14ac:dyDescent="0.3">
      <c r="A114" s="3">
        <v>45770</v>
      </c>
      <c r="B114" s="5">
        <v>21</v>
      </c>
    </row>
    <row r="115" spans="1:2" x14ac:dyDescent="0.3">
      <c r="A115" s="3">
        <v>45771</v>
      </c>
      <c r="B115" s="5">
        <v>96</v>
      </c>
    </row>
    <row r="116" spans="1:2" x14ac:dyDescent="0.3">
      <c r="A116" s="3">
        <v>45772</v>
      </c>
      <c r="B116" s="5">
        <v>129</v>
      </c>
    </row>
    <row r="117" spans="1:2" x14ac:dyDescent="0.3">
      <c r="A117" s="3">
        <v>45773</v>
      </c>
      <c r="B117" s="5">
        <v>137</v>
      </c>
    </row>
    <row r="118" spans="1:2" x14ac:dyDescent="0.3">
      <c r="A118" s="3">
        <v>45774</v>
      </c>
      <c r="B118" s="5">
        <v>133</v>
      </c>
    </row>
    <row r="119" spans="1:2" x14ac:dyDescent="0.3">
      <c r="A119" s="3">
        <v>45775</v>
      </c>
      <c r="B119" s="5">
        <v>144</v>
      </c>
    </row>
    <row r="120" spans="1:2" x14ac:dyDescent="0.3">
      <c r="A120" s="3">
        <v>45776</v>
      </c>
      <c r="B120" s="5">
        <v>51</v>
      </c>
    </row>
    <row r="121" spans="1:2" x14ac:dyDescent="0.3">
      <c r="A121" s="3">
        <v>45777</v>
      </c>
      <c r="B121" s="5">
        <v>39</v>
      </c>
    </row>
    <row r="122" spans="1:2" x14ac:dyDescent="0.3">
      <c r="A122" s="3">
        <v>45778</v>
      </c>
      <c r="B122" s="5">
        <v>71</v>
      </c>
    </row>
    <row r="123" spans="1:2" x14ac:dyDescent="0.3">
      <c r="A123" s="3">
        <v>45779</v>
      </c>
      <c r="B123" s="5">
        <v>145</v>
      </c>
    </row>
    <row r="124" spans="1:2" x14ac:dyDescent="0.3">
      <c r="A124" s="3">
        <v>45780</v>
      </c>
      <c r="B124" s="5">
        <v>123</v>
      </c>
    </row>
    <row r="125" spans="1:2" x14ac:dyDescent="0.3">
      <c r="A125" s="3">
        <v>45781</v>
      </c>
      <c r="B125" s="5">
        <v>117</v>
      </c>
    </row>
    <row r="126" spans="1:2" x14ac:dyDescent="0.3">
      <c r="A126" s="3">
        <v>45782</v>
      </c>
      <c r="B126" s="5">
        <v>152</v>
      </c>
    </row>
    <row r="127" spans="1:2" x14ac:dyDescent="0.3">
      <c r="A127" s="3">
        <v>45783</v>
      </c>
      <c r="B127" s="5">
        <v>47</v>
      </c>
    </row>
    <row r="128" spans="1:2" x14ac:dyDescent="0.3">
      <c r="A128" s="3">
        <v>45784</v>
      </c>
      <c r="B128" s="5">
        <v>31</v>
      </c>
    </row>
    <row r="129" spans="1:2" x14ac:dyDescent="0.3">
      <c r="A129" s="3">
        <v>45785</v>
      </c>
      <c r="B129" s="5">
        <v>115</v>
      </c>
    </row>
    <row r="130" spans="1:2" x14ac:dyDescent="0.3">
      <c r="A130" s="3">
        <v>45786</v>
      </c>
      <c r="B130" s="5">
        <v>166</v>
      </c>
    </row>
    <row r="131" spans="1:2" x14ac:dyDescent="0.3">
      <c r="A131" s="3">
        <v>45787</v>
      </c>
      <c r="B131" s="5">
        <v>122</v>
      </c>
    </row>
    <row r="132" spans="1:2" x14ac:dyDescent="0.3">
      <c r="A132" s="3">
        <v>45788</v>
      </c>
      <c r="B132" s="5">
        <v>153</v>
      </c>
    </row>
    <row r="133" spans="1:2" x14ac:dyDescent="0.3">
      <c r="A133" s="3">
        <v>45789</v>
      </c>
      <c r="B133" s="5">
        <v>143</v>
      </c>
    </row>
    <row r="134" spans="1:2" x14ac:dyDescent="0.3">
      <c r="A134" s="3">
        <v>45790</v>
      </c>
      <c r="B134" s="5">
        <v>50</v>
      </c>
    </row>
    <row r="135" spans="1:2" x14ac:dyDescent="0.3">
      <c r="A135" s="3">
        <v>45791</v>
      </c>
      <c r="B135" s="5">
        <v>20</v>
      </c>
    </row>
    <row r="136" spans="1:2" x14ac:dyDescent="0.3">
      <c r="A136" s="3">
        <v>45792</v>
      </c>
      <c r="B136" s="5">
        <v>135</v>
      </c>
    </row>
    <row r="137" spans="1:2" x14ac:dyDescent="0.3">
      <c r="A137" s="3">
        <v>45793</v>
      </c>
      <c r="B137" s="5">
        <v>122</v>
      </c>
    </row>
    <row r="138" spans="1:2" x14ac:dyDescent="0.3">
      <c r="A138" s="3">
        <v>45794</v>
      </c>
      <c r="B138" s="5">
        <v>141</v>
      </c>
    </row>
    <row r="139" spans="1:2" x14ac:dyDescent="0.3">
      <c r="A139" s="3">
        <v>45795</v>
      </c>
      <c r="B139" s="5">
        <v>33</v>
      </c>
    </row>
    <row r="140" spans="1:2" x14ac:dyDescent="0.3">
      <c r="A140" s="3">
        <v>45796</v>
      </c>
      <c r="B140" s="5">
        <v>8</v>
      </c>
    </row>
    <row r="141" spans="1:2" x14ac:dyDescent="0.3">
      <c r="A141" s="3">
        <v>45797</v>
      </c>
      <c r="B141" s="5">
        <v>6</v>
      </c>
    </row>
    <row r="142" spans="1:2" x14ac:dyDescent="0.3">
      <c r="A142" s="3">
        <v>45798</v>
      </c>
      <c r="B142" s="5">
        <v>1</v>
      </c>
    </row>
    <row r="143" spans="1:2" x14ac:dyDescent="0.3">
      <c r="A143" s="3">
        <v>45799</v>
      </c>
      <c r="B143" s="5">
        <v>1</v>
      </c>
    </row>
    <row r="144" spans="1:2" x14ac:dyDescent="0.3">
      <c r="A144" s="3">
        <v>45800</v>
      </c>
      <c r="B144" s="5">
        <v>1</v>
      </c>
    </row>
    <row r="145" spans="1:2" x14ac:dyDescent="0.3">
      <c r="A145" s="3">
        <v>45801</v>
      </c>
      <c r="B145" s="5">
        <v>92</v>
      </c>
    </row>
    <row r="146" spans="1:2" x14ac:dyDescent="0.3">
      <c r="A146" s="3">
        <v>45802</v>
      </c>
      <c r="B146" s="5">
        <v>156</v>
      </c>
    </row>
    <row r="147" spans="1:2" x14ac:dyDescent="0.3">
      <c r="A147" s="3">
        <v>45803</v>
      </c>
      <c r="B147" s="5">
        <v>140</v>
      </c>
    </row>
    <row r="148" spans="1:2" x14ac:dyDescent="0.3">
      <c r="A148" s="3">
        <v>45804</v>
      </c>
      <c r="B148" s="5">
        <v>57</v>
      </c>
    </row>
    <row r="149" spans="1:2" x14ac:dyDescent="0.3">
      <c r="A149" s="3">
        <v>45805</v>
      </c>
      <c r="B149" s="5">
        <v>21</v>
      </c>
    </row>
    <row r="150" spans="1:2" x14ac:dyDescent="0.3">
      <c r="A150" s="3">
        <v>45806</v>
      </c>
      <c r="B150" s="5">
        <v>57</v>
      </c>
    </row>
    <row r="151" spans="1:2" x14ac:dyDescent="0.3">
      <c r="A151" s="3">
        <v>45807</v>
      </c>
      <c r="B151" s="5">
        <v>99</v>
      </c>
    </row>
    <row r="152" spans="1:2" x14ac:dyDescent="0.3">
      <c r="A152" s="3">
        <v>45808</v>
      </c>
      <c r="B152" s="5">
        <v>121</v>
      </c>
    </row>
    <row r="153" spans="1:2" x14ac:dyDescent="0.3">
      <c r="A153" s="3">
        <v>45809</v>
      </c>
      <c r="B153" s="5">
        <v>109</v>
      </c>
    </row>
    <row r="154" spans="1:2" x14ac:dyDescent="0.3">
      <c r="A154" s="3">
        <v>45810</v>
      </c>
      <c r="B154" s="5">
        <v>126</v>
      </c>
    </row>
    <row r="155" spans="1:2" x14ac:dyDescent="0.3">
      <c r="A155" s="3">
        <v>45811</v>
      </c>
      <c r="B155" s="5">
        <v>44</v>
      </c>
    </row>
    <row r="156" spans="1:2" x14ac:dyDescent="0.3">
      <c r="A156" s="3">
        <v>45812</v>
      </c>
      <c r="B156" s="5">
        <v>16</v>
      </c>
    </row>
    <row r="157" spans="1:2" x14ac:dyDescent="0.3">
      <c r="A157" s="3">
        <v>45813</v>
      </c>
      <c r="B157" s="5">
        <v>126</v>
      </c>
    </row>
    <row r="158" spans="1:2" x14ac:dyDescent="0.3">
      <c r="A158" s="3">
        <v>45814</v>
      </c>
      <c r="B158" s="5">
        <v>144</v>
      </c>
    </row>
    <row r="159" spans="1:2" x14ac:dyDescent="0.3">
      <c r="A159" s="3">
        <v>45815</v>
      </c>
      <c r="B159" s="5">
        <v>140</v>
      </c>
    </row>
    <row r="160" spans="1:2" x14ac:dyDescent="0.3">
      <c r="A160" s="3">
        <v>45816</v>
      </c>
      <c r="B160" s="5">
        <v>117</v>
      </c>
    </row>
    <row r="161" spans="1:2" x14ac:dyDescent="0.3">
      <c r="A161" s="3">
        <v>45817</v>
      </c>
      <c r="B161" s="5">
        <v>121</v>
      </c>
    </row>
    <row r="162" spans="1:2" x14ac:dyDescent="0.3">
      <c r="A162" s="3">
        <v>45818</v>
      </c>
      <c r="B162" s="5">
        <v>54</v>
      </c>
    </row>
    <row r="163" spans="1:2" x14ac:dyDescent="0.3">
      <c r="A163" s="3">
        <v>45819</v>
      </c>
      <c r="B163" s="5">
        <v>13</v>
      </c>
    </row>
    <row r="164" spans="1:2" x14ac:dyDescent="0.3">
      <c r="A164" s="3">
        <v>45820</v>
      </c>
      <c r="B164" s="5">
        <v>141</v>
      </c>
    </row>
    <row r="165" spans="1:2" x14ac:dyDescent="0.3">
      <c r="A165" s="3">
        <v>45821</v>
      </c>
      <c r="B165" s="5">
        <v>100</v>
      </c>
    </row>
    <row r="166" spans="1:2" x14ac:dyDescent="0.3">
      <c r="A166" s="3">
        <v>45822</v>
      </c>
      <c r="B166" s="5">
        <v>157</v>
      </c>
    </row>
    <row r="167" spans="1:2" x14ac:dyDescent="0.3">
      <c r="A167" s="3">
        <v>45823</v>
      </c>
      <c r="B167" s="5">
        <v>159</v>
      </c>
    </row>
    <row r="168" spans="1:2" x14ac:dyDescent="0.3">
      <c r="A168" s="3">
        <v>45824</v>
      </c>
      <c r="B168" s="5">
        <v>121</v>
      </c>
    </row>
    <row r="169" spans="1:2" x14ac:dyDescent="0.3">
      <c r="A169" s="3">
        <v>45825</v>
      </c>
      <c r="B169" s="5">
        <v>39</v>
      </c>
    </row>
    <row r="170" spans="1:2" x14ac:dyDescent="0.3">
      <c r="A170" s="3">
        <v>45826</v>
      </c>
      <c r="B170" s="5">
        <v>28</v>
      </c>
    </row>
    <row r="171" spans="1:2" x14ac:dyDescent="0.3">
      <c r="A171" s="3">
        <v>45827</v>
      </c>
      <c r="B171" s="5">
        <v>96</v>
      </c>
    </row>
    <row r="172" spans="1:2" x14ac:dyDescent="0.3">
      <c r="A172" s="3">
        <v>45828</v>
      </c>
      <c r="B172" s="5">
        <v>137</v>
      </c>
    </row>
    <row r="173" spans="1:2" x14ac:dyDescent="0.3">
      <c r="A173" s="3">
        <v>45829</v>
      </c>
      <c r="B173" s="5">
        <v>146</v>
      </c>
    </row>
    <row r="174" spans="1:2" x14ac:dyDescent="0.3">
      <c r="A174" s="3">
        <v>45830</v>
      </c>
      <c r="B174" s="5">
        <v>152</v>
      </c>
    </row>
    <row r="175" spans="1:2" x14ac:dyDescent="0.3">
      <c r="A175" s="3">
        <v>45831</v>
      </c>
      <c r="B175" s="5">
        <v>148</v>
      </c>
    </row>
    <row r="176" spans="1:2" x14ac:dyDescent="0.3">
      <c r="A176" s="3">
        <v>45832</v>
      </c>
      <c r="B176" s="5">
        <v>53</v>
      </c>
    </row>
    <row r="177" spans="1:2" x14ac:dyDescent="0.3">
      <c r="A177" s="3">
        <v>45833</v>
      </c>
      <c r="B177" s="5">
        <v>28</v>
      </c>
    </row>
    <row r="178" spans="1:2" x14ac:dyDescent="0.3">
      <c r="A178" s="3">
        <v>45834</v>
      </c>
      <c r="B178" s="5">
        <v>134</v>
      </c>
    </row>
    <row r="179" spans="1:2" x14ac:dyDescent="0.3">
      <c r="A179" s="3">
        <v>45835</v>
      </c>
      <c r="B179" s="5">
        <v>176</v>
      </c>
    </row>
    <row r="180" spans="1:2" x14ac:dyDescent="0.3">
      <c r="A180" s="3">
        <v>45836</v>
      </c>
      <c r="B180" s="5">
        <v>142</v>
      </c>
    </row>
    <row r="181" spans="1:2" x14ac:dyDescent="0.3">
      <c r="A181" s="3">
        <v>45837</v>
      </c>
      <c r="B181" s="5">
        <v>144</v>
      </c>
    </row>
    <row r="182" spans="1:2" x14ac:dyDescent="0.3">
      <c r="A182" s="3">
        <v>45838</v>
      </c>
      <c r="B182" s="5">
        <v>123</v>
      </c>
    </row>
    <row r="183" spans="1:2" x14ac:dyDescent="0.3">
      <c r="A183" s="3">
        <v>45839</v>
      </c>
      <c r="B183" s="5">
        <v>63</v>
      </c>
    </row>
    <row r="184" spans="1:2" x14ac:dyDescent="0.3">
      <c r="A184" s="3">
        <v>45840</v>
      </c>
      <c r="B184" s="5">
        <v>21</v>
      </c>
    </row>
    <row r="185" spans="1:2" x14ac:dyDescent="0.3">
      <c r="A185" s="3">
        <v>45841</v>
      </c>
      <c r="B185" s="5">
        <v>89</v>
      </c>
    </row>
    <row r="186" spans="1:2" x14ac:dyDescent="0.3">
      <c r="A186" s="3">
        <v>45842</v>
      </c>
      <c r="B186" s="5">
        <v>92</v>
      </c>
    </row>
    <row r="187" spans="1:2" x14ac:dyDescent="0.3">
      <c r="A187" s="3">
        <v>45843</v>
      </c>
      <c r="B187" s="5">
        <v>131</v>
      </c>
    </row>
    <row r="188" spans="1:2" x14ac:dyDescent="0.3">
      <c r="A188" s="3">
        <v>45844</v>
      </c>
      <c r="B188" s="5">
        <v>146</v>
      </c>
    </row>
    <row r="189" spans="1:2" x14ac:dyDescent="0.3">
      <c r="A189" s="3">
        <v>45845</v>
      </c>
      <c r="B189" s="5">
        <v>132</v>
      </c>
    </row>
    <row r="190" spans="1:2" x14ac:dyDescent="0.3">
      <c r="A190" s="3">
        <v>45846</v>
      </c>
      <c r="B190" s="5">
        <v>64</v>
      </c>
    </row>
    <row r="191" spans="1:2" x14ac:dyDescent="0.3">
      <c r="A191" s="3">
        <v>45847</v>
      </c>
      <c r="B191" s="5">
        <v>29</v>
      </c>
    </row>
    <row r="192" spans="1:2" x14ac:dyDescent="0.3">
      <c r="A192" s="3">
        <v>45848</v>
      </c>
      <c r="B192" s="5">
        <v>102</v>
      </c>
    </row>
    <row r="193" spans="1:2" x14ac:dyDescent="0.3">
      <c r="A193" s="3">
        <v>45849</v>
      </c>
      <c r="B193" s="5">
        <v>141</v>
      </c>
    </row>
    <row r="194" spans="1:2" x14ac:dyDescent="0.3">
      <c r="A194" s="3">
        <v>45850</v>
      </c>
      <c r="B194" s="5">
        <v>133</v>
      </c>
    </row>
    <row r="195" spans="1:2" x14ac:dyDescent="0.3">
      <c r="A195" s="3">
        <v>45851</v>
      </c>
      <c r="B195" s="5">
        <v>123</v>
      </c>
    </row>
    <row r="196" spans="1:2" x14ac:dyDescent="0.3">
      <c r="A196" s="3">
        <v>45852</v>
      </c>
      <c r="B196" s="5">
        <v>143</v>
      </c>
    </row>
    <row r="197" spans="1:2" x14ac:dyDescent="0.3">
      <c r="A197" s="3">
        <v>45853</v>
      </c>
      <c r="B197" s="5">
        <v>47</v>
      </c>
    </row>
    <row r="198" spans="1:2" x14ac:dyDescent="0.3">
      <c r="A198" s="3">
        <v>45854</v>
      </c>
      <c r="B198" s="5">
        <v>14</v>
      </c>
    </row>
    <row r="199" spans="1:2" x14ac:dyDescent="0.3">
      <c r="A199" s="3">
        <v>45855</v>
      </c>
      <c r="B199" s="5">
        <v>134</v>
      </c>
    </row>
    <row r="200" spans="1:2" x14ac:dyDescent="0.3">
      <c r="A200" s="3">
        <v>45856</v>
      </c>
      <c r="B200" s="5">
        <v>119</v>
      </c>
    </row>
    <row r="201" spans="1:2" x14ac:dyDescent="0.3">
      <c r="A201" s="3">
        <v>45857</v>
      </c>
      <c r="B201" s="5">
        <v>133</v>
      </c>
    </row>
    <row r="202" spans="1:2" x14ac:dyDescent="0.3">
      <c r="A202" s="3">
        <v>45858</v>
      </c>
      <c r="B202" s="5">
        <v>135</v>
      </c>
    </row>
    <row r="203" spans="1:2" x14ac:dyDescent="0.3">
      <c r="A203" s="3">
        <v>45859</v>
      </c>
      <c r="B203" s="5">
        <v>109</v>
      </c>
    </row>
    <row r="204" spans="1:2" x14ac:dyDescent="0.3">
      <c r="A204" s="3">
        <v>45860</v>
      </c>
      <c r="B204" s="5">
        <v>56</v>
      </c>
    </row>
    <row r="205" spans="1:2" x14ac:dyDescent="0.3">
      <c r="A205" s="3">
        <v>45861</v>
      </c>
      <c r="B205" s="5">
        <v>33</v>
      </c>
    </row>
    <row r="206" spans="1:2" x14ac:dyDescent="0.3">
      <c r="A206" s="3">
        <v>45862</v>
      </c>
      <c r="B206" s="5">
        <v>98</v>
      </c>
    </row>
    <row r="207" spans="1:2" x14ac:dyDescent="0.3">
      <c r="A207" s="3">
        <v>45863</v>
      </c>
      <c r="B207" s="5">
        <v>133</v>
      </c>
    </row>
    <row r="208" spans="1:2" x14ac:dyDescent="0.3">
      <c r="A208" s="3">
        <v>45864</v>
      </c>
      <c r="B208" s="5">
        <v>136</v>
      </c>
    </row>
    <row r="209" spans="1:2" x14ac:dyDescent="0.3">
      <c r="A209" s="3">
        <v>45865</v>
      </c>
      <c r="B209" s="5">
        <v>95</v>
      </c>
    </row>
    <row r="210" spans="1:2" x14ac:dyDescent="0.3">
      <c r="A210" s="3">
        <v>45866</v>
      </c>
      <c r="B210" s="5">
        <v>90</v>
      </c>
    </row>
    <row r="211" spans="1:2" x14ac:dyDescent="0.3">
      <c r="A211" s="3">
        <v>45867</v>
      </c>
      <c r="B211" s="5">
        <v>33</v>
      </c>
    </row>
    <row r="212" spans="1:2" x14ac:dyDescent="0.3">
      <c r="A212" s="3">
        <v>45868</v>
      </c>
      <c r="B212" s="5">
        <v>23</v>
      </c>
    </row>
    <row r="213" spans="1:2" x14ac:dyDescent="0.3">
      <c r="A213" s="3">
        <v>45869</v>
      </c>
      <c r="B213" s="5">
        <v>86</v>
      </c>
    </row>
    <row r="214" spans="1:2" x14ac:dyDescent="0.3">
      <c r="A214" s="3">
        <v>45870</v>
      </c>
      <c r="B214" s="5">
        <v>73</v>
      </c>
    </row>
    <row r="215" spans="1:2" x14ac:dyDescent="0.3">
      <c r="A215" s="3">
        <v>45871</v>
      </c>
      <c r="B215" s="5">
        <v>87</v>
      </c>
    </row>
    <row r="216" spans="1:2" x14ac:dyDescent="0.3">
      <c r="A216" s="3">
        <v>45872</v>
      </c>
      <c r="B216" s="5">
        <v>88</v>
      </c>
    </row>
    <row r="217" spans="1:2" x14ac:dyDescent="0.3">
      <c r="A217" s="3">
        <v>45873</v>
      </c>
      <c r="B217" s="5">
        <v>106</v>
      </c>
    </row>
    <row r="218" spans="1:2" x14ac:dyDescent="0.3">
      <c r="A218" s="3">
        <v>45874</v>
      </c>
      <c r="B218" s="5">
        <v>54</v>
      </c>
    </row>
    <row r="219" spans="1:2" x14ac:dyDescent="0.3">
      <c r="A219" s="3">
        <v>45875</v>
      </c>
      <c r="B219" s="5">
        <v>33</v>
      </c>
    </row>
    <row r="220" spans="1:2" x14ac:dyDescent="0.3">
      <c r="A220" s="3">
        <v>45876</v>
      </c>
      <c r="B220" s="5">
        <v>149</v>
      </c>
    </row>
    <row r="221" spans="1:2" x14ac:dyDescent="0.3">
      <c r="A221" s="3">
        <v>45877</v>
      </c>
      <c r="B221" s="5">
        <v>181</v>
      </c>
    </row>
    <row r="222" spans="1:2" x14ac:dyDescent="0.3">
      <c r="A222" s="3">
        <v>45878</v>
      </c>
      <c r="B222" s="5">
        <v>121</v>
      </c>
    </row>
    <row r="223" spans="1:2" x14ac:dyDescent="0.3">
      <c r="A223" s="3">
        <v>45879</v>
      </c>
      <c r="B223" s="5">
        <v>125</v>
      </c>
    </row>
    <row r="224" spans="1:2" x14ac:dyDescent="0.3">
      <c r="A224" s="3">
        <v>45880</v>
      </c>
      <c r="B224" s="5">
        <v>116</v>
      </c>
    </row>
    <row r="225" spans="1:2" x14ac:dyDescent="0.3">
      <c r="A225" s="3">
        <v>45881</v>
      </c>
      <c r="B225" s="5">
        <v>76</v>
      </c>
    </row>
    <row r="226" spans="1:2" x14ac:dyDescent="0.3">
      <c r="A226" s="3">
        <v>45882</v>
      </c>
      <c r="B226" s="5">
        <v>84</v>
      </c>
    </row>
    <row r="227" spans="1:2" x14ac:dyDescent="0.3">
      <c r="A227" s="3">
        <v>45883</v>
      </c>
      <c r="B227" s="5">
        <v>148</v>
      </c>
    </row>
    <row r="228" spans="1:2" x14ac:dyDescent="0.3">
      <c r="A228" s="3">
        <v>45884</v>
      </c>
      <c r="B228" s="5">
        <v>150</v>
      </c>
    </row>
    <row r="229" spans="1:2" x14ac:dyDescent="0.3">
      <c r="A229" s="3">
        <v>45885</v>
      </c>
      <c r="B229" s="5">
        <v>167</v>
      </c>
    </row>
    <row r="230" spans="1:2" x14ac:dyDescent="0.3">
      <c r="A230" s="3">
        <v>45886</v>
      </c>
      <c r="B230" s="5">
        <v>141</v>
      </c>
    </row>
    <row r="231" spans="1:2" x14ac:dyDescent="0.3">
      <c r="A231" s="3">
        <v>45887</v>
      </c>
      <c r="B231" s="5">
        <v>145</v>
      </c>
    </row>
    <row r="232" spans="1:2" x14ac:dyDescent="0.3">
      <c r="A232" s="3">
        <v>45888</v>
      </c>
      <c r="B232" s="5">
        <v>101</v>
      </c>
    </row>
    <row r="233" spans="1:2" x14ac:dyDescent="0.3">
      <c r="A233" s="3">
        <v>45889</v>
      </c>
      <c r="B233" s="5">
        <v>41</v>
      </c>
    </row>
    <row r="234" spans="1:2" x14ac:dyDescent="0.3">
      <c r="A234" s="3">
        <v>45890</v>
      </c>
      <c r="B234" s="5">
        <v>146</v>
      </c>
    </row>
    <row r="235" spans="1:2" x14ac:dyDescent="0.3">
      <c r="A235" s="3">
        <v>45891</v>
      </c>
      <c r="B235" s="5">
        <v>140</v>
      </c>
    </row>
    <row r="236" spans="1:2" x14ac:dyDescent="0.3">
      <c r="A236" s="3">
        <v>45892</v>
      </c>
      <c r="B236" s="5">
        <v>145</v>
      </c>
    </row>
    <row r="237" spans="1:2" x14ac:dyDescent="0.3">
      <c r="A237" s="3">
        <v>45893</v>
      </c>
      <c r="B237" s="5">
        <v>127</v>
      </c>
    </row>
    <row r="238" spans="1:2" x14ac:dyDescent="0.3">
      <c r="A238" s="3">
        <v>45894</v>
      </c>
      <c r="B238" s="5">
        <v>126</v>
      </c>
    </row>
    <row r="239" spans="1:2" x14ac:dyDescent="0.3">
      <c r="A239" s="3">
        <v>45895</v>
      </c>
      <c r="B239" s="5">
        <v>60</v>
      </c>
    </row>
    <row r="240" spans="1:2" x14ac:dyDescent="0.3">
      <c r="A240" s="3">
        <v>45896</v>
      </c>
      <c r="B240" s="5">
        <v>69</v>
      </c>
    </row>
    <row r="241" spans="1:2" x14ac:dyDescent="0.3">
      <c r="A241" s="3">
        <v>45897</v>
      </c>
      <c r="B241" s="5">
        <v>136</v>
      </c>
    </row>
    <row r="242" spans="1:2" x14ac:dyDescent="0.3">
      <c r="A242" s="3">
        <v>45898</v>
      </c>
      <c r="B242" s="5">
        <v>134</v>
      </c>
    </row>
    <row r="243" spans="1:2" x14ac:dyDescent="0.3">
      <c r="A243" s="3">
        <v>45899</v>
      </c>
      <c r="B243" s="5">
        <v>160</v>
      </c>
    </row>
    <row r="244" spans="1:2" x14ac:dyDescent="0.3">
      <c r="A244" s="3">
        <v>45900</v>
      </c>
      <c r="B244" s="5">
        <v>125</v>
      </c>
    </row>
    <row r="245" spans="1:2" x14ac:dyDescent="0.3">
      <c r="A245" s="3">
        <v>45901</v>
      </c>
      <c r="B245" s="5">
        <v>132</v>
      </c>
    </row>
    <row r="246" spans="1:2" x14ac:dyDescent="0.3">
      <c r="A246" s="3">
        <v>45902</v>
      </c>
      <c r="B246" s="5">
        <v>99</v>
      </c>
    </row>
    <row r="247" spans="1:2" x14ac:dyDescent="0.3">
      <c r="A247" s="3">
        <v>45903</v>
      </c>
      <c r="B247" s="5">
        <v>68</v>
      </c>
    </row>
    <row r="248" spans="1:2" x14ac:dyDescent="0.3">
      <c r="A248" s="3">
        <v>45904</v>
      </c>
      <c r="B248" s="5">
        <v>110</v>
      </c>
    </row>
    <row r="249" spans="1:2" x14ac:dyDescent="0.3">
      <c r="A249" s="3">
        <v>45905</v>
      </c>
      <c r="B249" s="5">
        <v>136</v>
      </c>
    </row>
    <row r="250" spans="1:2" x14ac:dyDescent="0.3">
      <c r="A250" s="3">
        <v>45906</v>
      </c>
      <c r="B250" s="5">
        <v>110</v>
      </c>
    </row>
    <row r="251" spans="1:2" x14ac:dyDescent="0.3">
      <c r="A251" s="3">
        <v>45907</v>
      </c>
      <c r="B251" s="5">
        <v>80</v>
      </c>
    </row>
    <row r="252" spans="1:2" x14ac:dyDescent="0.3">
      <c r="A252" s="3">
        <v>45908</v>
      </c>
      <c r="B252" s="5">
        <v>61</v>
      </c>
    </row>
    <row r="253" spans="1:2" x14ac:dyDescent="0.3">
      <c r="A253" s="3">
        <v>45909</v>
      </c>
      <c r="B253" s="5">
        <v>54</v>
      </c>
    </row>
    <row r="254" spans="1:2" x14ac:dyDescent="0.3">
      <c r="A254" s="3">
        <v>45910</v>
      </c>
      <c r="B254" s="5">
        <v>39</v>
      </c>
    </row>
    <row r="255" spans="1:2" x14ac:dyDescent="0.3">
      <c r="A255" s="3">
        <v>45911</v>
      </c>
      <c r="B255" s="5">
        <v>81</v>
      </c>
    </row>
    <row r="256" spans="1:2" x14ac:dyDescent="0.3">
      <c r="A256" s="3">
        <v>45912</v>
      </c>
      <c r="B256" s="5">
        <v>90</v>
      </c>
    </row>
    <row r="257" spans="1:2" x14ac:dyDescent="0.3">
      <c r="A257" s="3">
        <v>45913</v>
      </c>
      <c r="B257" s="5">
        <v>74</v>
      </c>
    </row>
    <row r="258" spans="1:2" x14ac:dyDescent="0.3">
      <c r="A258" s="3">
        <v>45914</v>
      </c>
      <c r="B258" s="5">
        <v>45</v>
      </c>
    </row>
    <row r="259" spans="1:2" x14ac:dyDescent="0.3">
      <c r="A259" s="3">
        <v>45915</v>
      </c>
      <c r="B259" s="5">
        <v>94</v>
      </c>
    </row>
    <row r="260" spans="1:2" x14ac:dyDescent="0.3">
      <c r="A260" s="3">
        <v>45916</v>
      </c>
      <c r="B260" s="5">
        <v>66</v>
      </c>
    </row>
    <row r="261" spans="1:2" x14ac:dyDescent="0.3">
      <c r="A261" s="3">
        <v>45917</v>
      </c>
      <c r="B261" s="5">
        <v>52</v>
      </c>
    </row>
    <row r="262" spans="1:2" x14ac:dyDescent="0.3">
      <c r="A262" s="3">
        <v>45918</v>
      </c>
      <c r="B262" s="5">
        <v>198</v>
      </c>
    </row>
    <row r="263" spans="1:2" x14ac:dyDescent="0.3">
      <c r="A263" s="3">
        <v>45919</v>
      </c>
      <c r="B263" s="5">
        <v>127</v>
      </c>
    </row>
    <row r="264" spans="1:2" x14ac:dyDescent="0.3">
      <c r="A264" s="3">
        <v>45920</v>
      </c>
      <c r="B264" s="5">
        <v>116</v>
      </c>
    </row>
    <row r="265" spans="1:2" x14ac:dyDescent="0.3">
      <c r="A265" s="3">
        <v>45921</v>
      </c>
      <c r="B265" s="5">
        <v>107</v>
      </c>
    </row>
    <row r="266" spans="1:2" x14ac:dyDescent="0.3">
      <c r="A266" s="3">
        <v>45922</v>
      </c>
      <c r="B266" s="5">
        <v>90</v>
      </c>
    </row>
    <row r="267" spans="1:2" x14ac:dyDescent="0.3">
      <c r="A267" s="3">
        <v>45923</v>
      </c>
      <c r="B267" s="5">
        <v>48</v>
      </c>
    </row>
    <row r="268" spans="1:2" x14ac:dyDescent="0.3">
      <c r="A268" s="3">
        <v>45924</v>
      </c>
      <c r="B268" s="5">
        <v>28</v>
      </c>
    </row>
    <row r="269" spans="1:2" x14ac:dyDescent="0.3">
      <c r="A269" s="3">
        <v>45925</v>
      </c>
      <c r="B269" s="5">
        <v>108</v>
      </c>
    </row>
    <row r="270" spans="1:2" x14ac:dyDescent="0.3">
      <c r="A270" s="3">
        <v>45926</v>
      </c>
      <c r="B270" s="5">
        <v>79</v>
      </c>
    </row>
    <row r="271" spans="1:2" x14ac:dyDescent="0.3">
      <c r="A271" s="3">
        <v>45927</v>
      </c>
      <c r="B271" s="5">
        <v>108</v>
      </c>
    </row>
    <row r="272" spans="1:2" x14ac:dyDescent="0.3">
      <c r="A272" s="3">
        <v>45928</v>
      </c>
      <c r="B272" s="5">
        <v>83</v>
      </c>
    </row>
    <row r="273" spans="1:2" x14ac:dyDescent="0.3">
      <c r="A273" s="3">
        <v>45929</v>
      </c>
      <c r="B273" s="5">
        <v>115</v>
      </c>
    </row>
    <row r="274" spans="1:2" x14ac:dyDescent="0.3">
      <c r="A274" s="3">
        <v>45930</v>
      </c>
      <c r="B274" s="5">
        <v>43</v>
      </c>
    </row>
    <row r="275" spans="1:2" x14ac:dyDescent="0.3">
      <c r="A275" s="3">
        <v>45931</v>
      </c>
      <c r="B275" s="5">
        <v>71</v>
      </c>
    </row>
    <row r="276" spans="1:2" x14ac:dyDescent="0.3">
      <c r="A276" s="3">
        <v>45932</v>
      </c>
      <c r="B276" s="5">
        <v>95</v>
      </c>
    </row>
    <row r="277" spans="1:2" x14ac:dyDescent="0.3">
      <c r="A277" s="3">
        <v>45933</v>
      </c>
      <c r="B277" s="5">
        <v>99</v>
      </c>
    </row>
    <row r="278" spans="1:2" x14ac:dyDescent="0.3">
      <c r="A278" s="3">
        <v>45934</v>
      </c>
      <c r="B278" s="5">
        <v>105</v>
      </c>
    </row>
    <row r="279" spans="1:2" x14ac:dyDescent="0.3">
      <c r="A279" s="3">
        <v>45935</v>
      </c>
      <c r="B279" s="5">
        <v>98</v>
      </c>
    </row>
    <row r="280" spans="1:2" x14ac:dyDescent="0.3">
      <c r="A280" s="3">
        <v>45936</v>
      </c>
      <c r="B280" s="5">
        <v>101</v>
      </c>
    </row>
    <row r="281" spans="1:2" x14ac:dyDescent="0.3">
      <c r="A281" s="3">
        <v>45937</v>
      </c>
      <c r="B281" s="5">
        <v>30</v>
      </c>
    </row>
    <row r="282" spans="1:2" x14ac:dyDescent="0.3">
      <c r="A282" s="3">
        <v>45938</v>
      </c>
      <c r="B282" s="5">
        <v>53</v>
      </c>
    </row>
    <row r="283" spans="1:2" x14ac:dyDescent="0.3">
      <c r="A283" s="3">
        <v>45939</v>
      </c>
      <c r="B283" s="5">
        <v>89</v>
      </c>
    </row>
    <row r="284" spans="1:2" x14ac:dyDescent="0.3">
      <c r="A284" s="3">
        <v>45940</v>
      </c>
      <c r="B284" s="5">
        <v>105</v>
      </c>
    </row>
    <row r="285" spans="1:2" x14ac:dyDescent="0.3">
      <c r="A285" s="3">
        <v>45941</v>
      </c>
      <c r="B285" s="5">
        <v>107</v>
      </c>
    </row>
    <row r="286" spans="1:2" x14ac:dyDescent="0.3">
      <c r="A286" s="3">
        <v>45942</v>
      </c>
      <c r="B286" s="5">
        <v>119</v>
      </c>
    </row>
    <row r="287" spans="1:2" x14ac:dyDescent="0.3">
      <c r="A287" s="3">
        <v>45943</v>
      </c>
      <c r="B287" s="5">
        <v>113</v>
      </c>
    </row>
    <row r="288" spans="1:2" x14ac:dyDescent="0.3">
      <c r="A288" s="3">
        <v>45944</v>
      </c>
      <c r="B288" s="5">
        <v>34</v>
      </c>
    </row>
    <row r="289" spans="1:2" x14ac:dyDescent="0.3">
      <c r="A289" s="3">
        <v>45945</v>
      </c>
      <c r="B289" s="5">
        <v>66</v>
      </c>
    </row>
    <row r="290" spans="1:2" x14ac:dyDescent="0.3">
      <c r="A290" s="3">
        <v>45946</v>
      </c>
      <c r="B290" s="5">
        <v>109</v>
      </c>
    </row>
    <row r="291" spans="1:2" x14ac:dyDescent="0.3">
      <c r="A291" s="3">
        <v>45947</v>
      </c>
      <c r="B291" s="5">
        <v>92</v>
      </c>
    </row>
    <row r="292" spans="1:2" x14ac:dyDescent="0.3">
      <c r="A292" s="3">
        <v>45948</v>
      </c>
      <c r="B292" s="5">
        <v>95</v>
      </c>
    </row>
    <row r="293" spans="1:2" x14ac:dyDescent="0.3">
      <c r="A293" s="3">
        <v>45949</v>
      </c>
      <c r="B293" s="5">
        <v>83</v>
      </c>
    </row>
    <row r="294" spans="1:2" x14ac:dyDescent="0.3">
      <c r="A294" s="3">
        <v>45950</v>
      </c>
      <c r="B294" s="5">
        <v>79</v>
      </c>
    </row>
    <row r="295" spans="1:2" x14ac:dyDescent="0.3">
      <c r="A295" s="3">
        <v>45951</v>
      </c>
      <c r="B295" s="5">
        <v>38</v>
      </c>
    </row>
    <row r="296" spans="1:2" x14ac:dyDescent="0.3">
      <c r="A296" s="3">
        <v>45952</v>
      </c>
      <c r="B296" s="5">
        <v>36</v>
      </c>
    </row>
    <row r="297" spans="1:2" x14ac:dyDescent="0.3">
      <c r="A297" s="3">
        <v>45953</v>
      </c>
      <c r="B297" s="5">
        <v>76</v>
      </c>
    </row>
    <row r="298" spans="1:2" x14ac:dyDescent="0.3">
      <c r="A298" s="3">
        <v>45954</v>
      </c>
      <c r="B298" s="5">
        <v>76</v>
      </c>
    </row>
    <row r="299" spans="1:2" x14ac:dyDescent="0.3">
      <c r="A299" s="3">
        <v>45955</v>
      </c>
      <c r="B299" s="5">
        <v>83</v>
      </c>
    </row>
    <row r="300" spans="1:2" x14ac:dyDescent="0.3">
      <c r="A300" s="3">
        <v>45956</v>
      </c>
      <c r="B300" s="5">
        <v>127</v>
      </c>
    </row>
    <row r="301" spans="1:2" x14ac:dyDescent="0.3">
      <c r="A301" s="3">
        <v>45957</v>
      </c>
      <c r="B301" s="5">
        <v>62</v>
      </c>
    </row>
    <row r="302" spans="1:2" x14ac:dyDescent="0.3">
      <c r="A302" s="3">
        <v>45958</v>
      </c>
      <c r="B302" s="5">
        <v>42</v>
      </c>
    </row>
    <row r="303" spans="1:2" x14ac:dyDescent="0.3">
      <c r="A303" s="3">
        <v>45959</v>
      </c>
      <c r="B303" s="5">
        <v>42</v>
      </c>
    </row>
    <row r="304" spans="1:2" x14ac:dyDescent="0.3">
      <c r="A304" s="3">
        <v>45960</v>
      </c>
      <c r="B304" s="5">
        <v>125</v>
      </c>
    </row>
    <row r="305" spans="1:2" x14ac:dyDescent="0.3">
      <c r="A305" s="3">
        <v>45961</v>
      </c>
      <c r="B305" s="5">
        <v>102</v>
      </c>
    </row>
    <row r="306" spans="1:2" x14ac:dyDescent="0.3">
      <c r="A306" s="3">
        <v>45962</v>
      </c>
      <c r="B306" s="5">
        <v>74</v>
      </c>
    </row>
    <row r="307" spans="1:2" x14ac:dyDescent="0.3">
      <c r="A307" s="3">
        <v>45963</v>
      </c>
      <c r="B307" s="5">
        <v>90</v>
      </c>
    </row>
    <row r="308" spans="1:2" x14ac:dyDescent="0.3">
      <c r="A308" s="3">
        <v>45964</v>
      </c>
      <c r="B308" s="5">
        <v>76</v>
      </c>
    </row>
    <row r="309" spans="1:2" x14ac:dyDescent="0.3">
      <c r="A309" s="3">
        <v>45965</v>
      </c>
      <c r="B309" s="5">
        <v>45</v>
      </c>
    </row>
    <row r="310" spans="1:2" x14ac:dyDescent="0.3">
      <c r="A310" s="3">
        <v>45966</v>
      </c>
      <c r="B310" s="5">
        <v>60</v>
      </c>
    </row>
    <row r="311" spans="1:2" x14ac:dyDescent="0.3">
      <c r="A311" s="3">
        <v>45967</v>
      </c>
      <c r="B311" s="5">
        <v>64</v>
      </c>
    </row>
    <row r="312" spans="1:2" x14ac:dyDescent="0.3">
      <c r="A312" s="3">
        <v>45968</v>
      </c>
      <c r="B312" s="5">
        <v>84</v>
      </c>
    </row>
    <row r="313" spans="1:2" x14ac:dyDescent="0.3">
      <c r="A313" s="3">
        <v>45969</v>
      </c>
      <c r="B313" s="5">
        <v>83</v>
      </c>
    </row>
    <row r="314" spans="1:2" x14ac:dyDescent="0.3">
      <c r="A314" s="3">
        <v>45970</v>
      </c>
      <c r="B314" s="5">
        <v>98</v>
      </c>
    </row>
    <row r="315" spans="1:2" x14ac:dyDescent="0.3">
      <c r="A315" s="3">
        <v>45971</v>
      </c>
      <c r="B315" s="5">
        <v>76</v>
      </c>
    </row>
    <row r="316" spans="1:2" x14ac:dyDescent="0.3">
      <c r="A316" s="3">
        <v>45972</v>
      </c>
      <c r="B316" s="5">
        <v>46</v>
      </c>
    </row>
    <row r="317" spans="1:2" x14ac:dyDescent="0.3">
      <c r="A317" s="3">
        <v>45973</v>
      </c>
      <c r="B317" s="5">
        <v>49</v>
      </c>
    </row>
    <row r="318" spans="1:2" x14ac:dyDescent="0.3">
      <c r="A318" s="3">
        <v>45974</v>
      </c>
      <c r="B318" s="5">
        <v>51</v>
      </c>
    </row>
    <row r="319" spans="1:2" x14ac:dyDescent="0.3">
      <c r="A319" s="3">
        <v>45975</v>
      </c>
      <c r="B319" s="5">
        <v>64</v>
      </c>
    </row>
    <row r="320" spans="1:2" x14ac:dyDescent="0.3">
      <c r="A320" s="3">
        <v>45976</v>
      </c>
      <c r="B320" s="5">
        <v>89</v>
      </c>
    </row>
    <row r="321" spans="1:2" x14ac:dyDescent="0.3">
      <c r="A321" s="3">
        <v>45977</v>
      </c>
      <c r="B321" s="5">
        <v>79</v>
      </c>
    </row>
    <row r="322" spans="1:2" x14ac:dyDescent="0.3">
      <c r="A322" s="3">
        <v>45978</v>
      </c>
      <c r="B322" s="5">
        <v>93</v>
      </c>
    </row>
    <row r="323" spans="1:2" x14ac:dyDescent="0.3">
      <c r="A323" s="3">
        <v>45979</v>
      </c>
      <c r="B323" s="5">
        <v>83</v>
      </c>
    </row>
    <row r="324" spans="1:2" x14ac:dyDescent="0.3">
      <c r="A324" s="3">
        <v>45980</v>
      </c>
      <c r="B324" s="5">
        <v>25</v>
      </c>
    </row>
    <row r="325" spans="1:2" x14ac:dyDescent="0.3">
      <c r="A325" s="3">
        <v>45981</v>
      </c>
      <c r="B325" s="5">
        <v>48</v>
      </c>
    </row>
    <row r="326" spans="1:2" x14ac:dyDescent="0.3">
      <c r="A326" s="3">
        <v>45982</v>
      </c>
      <c r="B326" s="5">
        <v>68</v>
      </c>
    </row>
    <row r="327" spans="1:2" x14ac:dyDescent="0.3">
      <c r="A327" s="3">
        <v>45983</v>
      </c>
      <c r="B327" s="5">
        <v>65</v>
      </c>
    </row>
    <row r="328" spans="1:2" x14ac:dyDescent="0.3">
      <c r="A328" s="3">
        <v>45984</v>
      </c>
      <c r="B328" s="5">
        <v>39</v>
      </c>
    </row>
    <row r="329" spans="1:2" x14ac:dyDescent="0.3">
      <c r="A329" s="3">
        <v>45985</v>
      </c>
      <c r="B329" s="5">
        <v>63</v>
      </c>
    </row>
    <row r="330" spans="1:2" x14ac:dyDescent="0.3">
      <c r="A330" s="3">
        <v>45986</v>
      </c>
      <c r="B330" s="5">
        <v>30</v>
      </c>
    </row>
    <row r="331" spans="1:2" x14ac:dyDescent="0.3">
      <c r="A331" s="3">
        <v>45987</v>
      </c>
      <c r="B331" s="5">
        <v>45</v>
      </c>
    </row>
    <row r="332" spans="1:2" x14ac:dyDescent="0.3">
      <c r="A332" s="3">
        <v>45988</v>
      </c>
      <c r="B332" s="5">
        <v>46</v>
      </c>
    </row>
    <row r="333" spans="1:2" x14ac:dyDescent="0.3">
      <c r="A333" s="3">
        <v>45989</v>
      </c>
      <c r="B333" s="5">
        <v>78</v>
      </c>
    </row>
    <row r="334" spans="1:2" x14ac:dyDescent="0.3">
      <c r="A334" s="3">
        <v>45990</v>
      </c>
      <c r="B334" s="5">
        <v>70</v>
      </c>
    </row>
    <row r="335" spans="1:2" x14ac:dyDescent="0.3">
      <c r="A335" s="3">
        <v>45991</v>
      </c>
      <c r="B335" s="5">
        <v>82</v>
      </c>
    </row>
    <row r="336" spans="1:2" x14ac:dyDescent="0.3">
      <c r="A336" s="3">
        <v>45992</v>
      </c>
      <c r="B336" s="5">
        <v>90</v>
      </c>
    </row>
    <row r="337" spans="1:2" x14ac:dyDescent="0.3">
      <c r="A337" s="3">
        <v>45993</v>
      </c>
      <c r="B337" s="5">
        <v>45</v>
      </c>
    </row>
    <row r="338" spans="1:2" x14ac:dyDescent="0.3">
      <c r="A338" s="3">
        <v>45994</v>
      </c>
      <c r="B338" s="5">
        <v>34</v>
      </c>
    </row>
    <row r="339" spans="1:2" x14ac:dyDescent="0.3">
      <c r="A339" s="3">
        <v>45995</v>
      </c>
      <c r="B339" s="5">
        <v>57</v>
      </c>
    </row>
    <row r="340" spans="1:2" x14ac:dyDescent="0.3">
      <c r="A340" s="3">
        <v>45996</v>
      </c>
      <c r="B340" s="5">
        <v>82</v>
      </c>
    </row>
    <row r="341" spans="1:2" x14ac:dyDescent="0.3">
      <c r="A341" s="3">
        <v>45997</v>
      </c>
      <c r="B341" s="5">
        <v>80</v>
      </c>
    </row>
    <row r="342" spans="1:2" x14ac:dyDescent="0.3">
      <c r="A342" s="3">
        <v>45998</v>
      </c>
      <c r="B342" s="5">
        <v>88</v>
      </c>
    </row>
    <row r="343" spans="1:2" x14ac:dyDescent="0.3">
      <c r="A343" s="3">
        <v>45999</v>
      </c>
      <c r="B343" s="5">
        <v>69</v>
      </c>
    </row>
    <row r="344" spans="1:2" x14ac:dyDescent="0.3">
      <c r="A344" s="3">
        <v>46000</v>
      </c>
      <c r="B344" s="5">
        <v>42</v>
      </c>
    </row>
    <row r="345" spans="1:2" x14ac:dyDescent="0.3">
      <c r="A345" s="3">
        <v>46001</v>
      </c>
      <c r="B345" s="5">
        <v>70</v>
      </c>
    </row>
    <row r="346" spans="1:2" x14ac:dyDescent="0.3">
      <c r="A346" s="3">
        <v>46002</v>
      </c>
      <c r="B346" s="5">
        <v>61</v>
      </c>
    </row>
    <row r="347" spans="1:2" x14ac:dyDescent="0.3">
      <c r="A347" s="3">
        <v>46003</v>
      </c>
      <c r="B347" s="5">
        <v>107</v>
      </c>
    </row>
    <row r="348" spans="1:2" x14ac:dyDescent="0.3">
      <c r="A348" s="3">
        <v>46004</v>
      </c>
      <c r="B348" s="5">
        <v>144</v>
      </c>
    </row>
    <row r="349" spans="1:2" x14ac:dyDescent="0.3">
      <c r="A349" s="3">
        <v>46005</v>
      </c>
      <c r="B349" s="5">
        <v>87</v>
      </c>
    </row>
    <row r="350" spans="1:2" x14ac:dyDescent="0.3">
      <c r="A350" s="3">
        <v>46006</v>
      </c>
      <c r="B350" s="5">
        <v>108</v>
      </c>
    </row>
    <row r="351" spans="1:2" x14ac:dyDescent="0.3">
      <c r="A351" s="3">
        <v>46007</v>
      </c>
      <c r="B351" s="5">
        <v>51</v>
      </c>
    </row>
    <row r="352" spans="1:2" x14ac:dyDescent="0.3">
      <c r="A352" s="3">
        <v>46008</v>
      </c>
      <c r="B352" s="5">
        <v>37</v>
      </c>
    </row>
    <row r="353" spans="1:2" x14ac:dyDescent="0.3">
      <c r="A353" s="3">
        <v>46009</v>
      </c>
      <c r="B353" s="5">
        <v>70</v>
      </c>
    </row>
    <row r="354" spans="1:2" x14ac:dyDescent="0.3">
      <c r="A354" s="3">
        <v>46010</v>
      </c>
      <c r="B354" s="5">
        <v>65</v>
      </c>
    </row>
    <row r="355" spans="1:2" x14ac:dyDescent="0.3">
      <c r="A355" s="3">
        <v>46011</v>
      </c>
      <c r="B355" s="5">
        <v>85</v>
      </c>
    </row>
    <row r="356" spans="1:2" x14ac:dyDescent="0.3">
      <c r="A356" s="3">
        <v>46012</v>
      </c>
      <c r="B356" s="5">
        <v>69</v>
      </c>
    </row>
    <row r="357" spans="1:2" x14ac:dyDescent="0.3">
      <c r="A357" s="3">
        <v>46013</v>
      </c>
      <c r="B357" s="5">
        <v>66</v>
      </c>
    </row>
    <row r="358" spans="1:2" x14ac:dyDescent="0.3">
      <c r="A358" s="3">
        <v>46014</v>
      </c>
      <c r="B358" s="5">
        <v>41</v>
      </c>
    </row>
    <row r="359" spans="1:2" x14ac:dyDescent="0.3">
      <c r="A359" s="3">
        <v>46015</v>
      </c>
      <c r="B359" s="5">
        <v>40</v>
      </c>
    </row>
    <row r="360" spans="1:2" x14ac:dyDescent="0.3">
      <c r="A360" s="3">
        <v>46016</v>
      </c>
      <c r="B360" s="5">
        <v>40</v>
      </c>
    </row>
    <row r="361" spans="1:2" x14ac:dyDescent="0.3">
      <c r="A361" s="3">
        <v>46017</v>
      </c>
      <c r="B361" s="5">
        <v>45</v>
      </c>
    </row>
    <row r="362" spans="1:2" x14ac:dyDescent="0.3">
      <c r="A362" s="3">
        <v>46018</v>
      </c>
      <c r="B362" s="5">
        <v>77</v>
      </c>
    </row>
    <row r="363" spans="1:2" x14ac:dyDescent="0.3">
      <c r="A363" s="3">
        <v>46019</v>
      </c>
      <c r="B363" s="5">
        <v>57</v>
      </c>
    </row>
    <row r="364" spans="1:2" x14ac:dyDescent="0.3">
      <c r="A364" s="3">
        <v>46020</v>
      </c>
      <c r="B364" s="5">
        <v>70</v>
      </c>
    </row>
    <row r="365" spans="1:2" x14ac:dyDescent="0.3">
      <c r="A365" s="3">
        <v>46021</v>
      </c>
      <c r="B365" s="5">
        <v>42</v>
      </c>
    </row>
    <row r="366" spans="1:2" ht="15" thickBot="1" x14ac:dyDescent="0.35">
      <c r="A366" s="3">
        <v>46022</v>
      </c>
      <c r="B366" s="6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CBCFF-932A-4FA5-9DB8-14493D675C7A}">
  <dimension ref="A1:E458"/>
  <sheetViews>
    <sheetView topLeftCell="E1" workbookViewId="0">
      <selection activeCell="L3" sqref="L3"/>
    </sheetView>
  </sheetViews>
  <sheetFormatPr defaultRowHeight="14.4" x14ac:dyDescent="0.3"/>
  <cols>
    <col min="1" max="1" width="10.109375" customWidth="1"/>
    <col min="3" max="3" width="10.109375" customWidth="1"/>
    <col min="4" max="4" width="23.109375" customWidth="1"/>
    <col min="5" max="5" width="23.33203125" customWidth="1"/>
  </cols>
  <sheetData>
    <row r="1" spans="1:5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3">
      <c r="A2" s="7">
        <v>45658</v>
      </c>
      <c r="B2">
        <v>28</v>
      </c>
    </row>
    <row r="3" spans="1:5" x14ac:dyDescent="0.3">
      <c r="A3" s="7">
        <v>45659</v>
      </c>
      <c r="B3">
        <v>88</v>
      </c>
    </row>
    <row r="4" spans="1:5" x14ac:dyDescent="0.3">
      <c r="A4" s="7">
        <v>45660</v>
      </c>
      <c r="B4">
        <v>177</v>
      </c>
    </row>
    <row r="5" spans="1:5" x14ac:dyDescent="0.3">
      <c r="A5" s="7">
        <v>45661</v>
      </c>
      <c r="B5">
        <v>176</v>
      </c>
    </row>
    <row r="6" spans="1:5" x14ac:dyDescent="0.3">
      <c r="A6" s="7">
        <v>45662</v>
      </c>
      <c r="B6">
        <v>133</v>
      </c>
    </row>
    <row r="7" spans="1:5" x14ac:dyDescent="0.3">
      <c r="A7" s="7">
        <v>45663</v>
      </c>
      <c r="B7">
        <v>106</v>
      </c>
    </row>
    <row r="8" spans="1:5" x14ac:dyDescent="0.3">
      <c r="A8" s="7">
        <v>45664</v>
      </c>
      <c r="B8">
        <v>60</v>
      </c>
    </row>
    <row r="9" spans="1:5" x14ac:dyDescent="0.3">
      <c r="A9" s="7">
        <v>45665</v>
      </c>
      <c r="B9">
        <v>38</v>
      </c>
    </row>
    <row r="10" spans="1:5" x14ac:dyDescent="0.3">
      <c r="A10" s="7">
        <v>45666</v>
      </c>
      <c r="B10">
        <v>122</v>
      </c>
    </row>
    <row r="11" spans="1:5" x14ac:dyDescent="0.3">
      <c r="A11" s="7">
        <v>45667</v>
      </c>
      <c r="B11">
        <v>150</v>
      </c>
    </row>
    <row r="12" spans="1:5" x14ac:dyDescent="0.3">
      <c r="A12" s="7">
        <v>45668</v>
      </c>
      <c r="B12">
        <v>167</v>
      </c>
    </row>
    <row r="13" spans="1:5" x14ac:dyDescent="0.3">
      <c r="A13" s="7">
        <v>45669</v>
      </c>
      <c r="B13">
        <v>125</v>
      </c>
    </row>
    <row r="14" spans="1:5" x14ac:dyDescent="0.3">
      <c r="A14" s="7">
        <v>45670</v>
      </c>
      <c r="B14">
        <v>110</v>
      </c>
    </row>
    <row r="15" spans="1:5" x14ac:dyDescent="0.3">
      <c r="A15" s="7">
        <v>45671</v>
      </c>
      <c r="B15">
        <v>63</v>
      </c>
    </row>
    <row r="16" spans="1:5" x14ac:dyDescent="0.3">
      <c r="A16" s="7">
        <v>45672</v>
      </c>
      <c r="B16">
        <v>23</v>
      </c>
    </row>
    <row r="17" spans="1:2" x14ac:dyDescent="0.3">
      <c r="A17" s="7">
        <v>45673</v>
      </c>
      <c r="B17">
        <v>98</v>
      </c>
    </row>
    <row r="18" spans="1:2" x14ac:dyDescent="0.3">
      <c r="A18" s="7">
        <v>45674</v>
      </c>
      <c r="B18">
        <v>107</v>
      </c>
    </row>
    <row r="19" spans="1:2" x14ac:dyDescent="0.3">
      <c r="A19" s="7">
        <v>45675</v>
      </c>
      <c r="B19">
        <v>126</v>
      </c>
    </row>
    <row r="20" spans="1:2" x14ac:dyDescent="0.3">
      <c r="A20" s="7">
        <v>45676</v>
      </c>
      <c r="B20">
        <v>113</v>
      </c>
    </row>
    <row r="21" spans="1:2" x14ac:dyDescent="0.3">
      <c r="A21" s="7">
        <v>45677</v>
      </c>
      <c r="B21">
        <v>111</v>
      </c>
    </row>
    <row r="22" spans="1:2" x14ac:dyDescent="0.3">
      <c r="A22" s="7">
        <v>45678</v>
      </c>
      <c r="B22">
        <v>49</v>
      </c>
    </row>
    <row r="23" spans="1:2" x14ac:dyDescent="0.3">
      <c r="A23" s="7">
        <v>45679</v>
      </c>
      <c r="B23">
        <v>37</v>
      </c>
    </row>
    <row r="24" spans="1:2" x14ac:dyDescent="0.3">
      <c r="A24" s="7">
        <v>45680</v>
      </c>
      <c r="B24">
        <v>118</v>
      </c>
    </row>
    <row r="25" spans="1:2" x14ac:dyDescent="0.3">
      <c r="A25" s="7">
        <v>45681</v>
      </c>
      <c r="B25">
        <v>115</v>
      </c>
    </row>
    <row r="26" spans="1:2" x14ac:dyDescent="0.3">
      <c r="A26" s="7">
        <v>45682</v>
      </c>
      <c r="B26">
        <v>136</v>
      </c>
    </row>
    <row r="27" spans="1:2" x14ac:dyDescent="0.3">
      <c r="A27" s="7">
        <v>45683</v>
      </c>
      <c r="B27">
        <v>111</v>
      </c>
    </row>
    <row r="28" spans="1:2" x14ac:dyDescent="0.3">
      <c r="A28" s="7">
        <v>45684</v>
      </c>
      <c r="B28">
        <v>122</v>
      </c>
    </row>
    <row r="29" spans="1:2" x14ac:dyDescent="0.3">
      <c r="A29" s="7">
        <v>45685</v>
      </c>
      <c r="B29">
        <v>52</v>
      </c>
    </row>
    <row r="30" spans="1:2" x14ac:dyDescent="0.3">
      <c r="A30" s="7">
        <v>45686</v>
      </c>
      <c r="B30">
        <v>55</v>
      </c>
    </row>
    <row r="31" spans="1:2" x14ac:dyDescent="0.3">
      <c r="A31" s="7">
        <v>45687</v>
      </c>
      <c r="B31">
        <v>74</v>
      </c>
    </row>
    <row r="32" spans="1:2" x14ac:dyDescent="0.3">
      <c r="A32" s="7">
        <v>45688</v>
      </c>
      <c r="B32">
        <v>112</v>
      </c>
    </row>
    <row r="33" spans="1:2" x14ac:dyDescent="0.3">
      <c r="A33" s="7">
        <v>45689</v>
      </c>
      <c r="B33">
        <v>97</v>
      </c>
    </row>
    <row r="34" spans="1:2" x14ac:dyDescent="0.3">
      <c r="A34" s="7">
        <v>45690</v>
      </c>
      <c r="B34">
        <v>119</v>
      </c>
    </row>
    <row r="35" spans="1:2" x14ac:dyDescent="0.3">
      <c r="A35" s="7">
        <v>45691</v>
      </c>
      <c r="B35">
        <v>123</v>
      </c>
    </row>
    <row r="36" spans="1:2" x14ac:dyDescent="0.3">
      <c r="A36" s="7">
        <v>45692</v>
      </c>
      <c r="B36">
        <v>48</v>
      </c>
    </row>
    <row r="37" spans="1:2" x14ac:dyDescent="0.3">
      <c r="A37" s="7">
        <v>45693</v>
      </c>
      <c r="B37">
        <v>21</v>
      </c>
    </row>
    <row r="38" spans="1:2" x14ac:dyDescent="0.3">
      <c r="A38" s="7">
        <v>45694</v>
      </c>
      <c r="B38">
        <v>89</v>
      </c>
    </row>
    <row r="39" spans="1:2" x14ac:dyDescent="0.3">
      <c r="A39" s="7">
        <v>45695</v>
      </c>
      <c r="B39">
        <v>120</v>
      </c>
    </row>
    <row r="40" spans="1:2" x14ac:dyDescent="0.3">
      <c r="A40" s="7">
        <v>45696</v>
      </c>
      <c r="B40">
        <v>116</v>
      </c>
    </row>
    <row r="41" spans="1:2" x14ac:dyDescent="0.3">
      <c r="A41" s="7">
        <v>45697</v>
      </c>
      <c r="B41">
        <v>138</v>
      </c>
    </row>
    <row r="42" spans="1:2" x14ac:dyDescent="0.3">
      <c r="A42" s="7">
        <v>45698</v>
      </c>
      <c r="B42">
        <v>95</v>
      </c>
    </row>
    <row r="43" spans="1:2" x14ac:dyDescent="0.3">
      <c r="A43" s="7">
        <v>45699</v>
      </c>
      <c r="B43">
        <v>58</v>
      </c>
    </row>
    <row r="44" spans="1:2" x14ac:dyDescent="0.3">
      <c r="A44" s="7">
        <v>45700</v>
      </c>
      <c r="B44">
        <v>27</v>
      </c>
    </row>
    <row r="45" spans="1:2" x14ac:dyDescent="0.3">
      <c r="A45" s="7">
        <v>45701</v>
      </c>
      <c r="B45">
        <v>109</v>
      </c>
    </row>
    <row r="46" spans="1:2" x14ac:dyDescent="0.3">
      <c r="A46" s="7">
        <v>45702</v>
      </c>
      <c r="B46">
        <v>119</v>
      </c>
    </row>
    <row r="47" spans="1:2" x14ac:dyDescent="0.3">
      <c r="A47" s="7">
        <v>45703</v>
      </c>
      <c r="B47">
        <v>107</v>
      </c>
    </row>
    <row r="48" spans="1:2" x14ac:dyDescent="0.3">
      <c r="A48" s="7">
        <v>45704</v>
      </c>
      <c r="B48">
        <v>140</v>
      </c>
    </row>
    <row r="49" spans="1:2" x14ac:dyDescent="0.3">
      <c r="A49" s="7">
        <v>45705</v>
      </c>
      <c r="B49">
        <v>121</v>
      </c>
    </row>
    <row r="50" spans="1:2" x14ac:dyDescent="0.3">
      <c r="A50" s="7">
        <v>45706</v>
      </c>
      <c r="B50">
        <v>40</v>
      </c>
    </row>
    <row r="51" spans="1:2" x14ac:dyDescent="0.3">
      <c r="A51" s="7">
        <v>45707</v>
      </c>
      <c r="B51">
        <v>25</v>
      </c>
    </row>
    <row r="52" spans="1:2" x14ac:dyDescent="0.3">
      <c r="A52" s="7">
        <v>45708</v>
      </c>
      <c r="B52">
        <v>84</v>
      </c>
    </row>
    <row r="53" spans="1:2" x14ac:dyDescent="0.3">
      <c r="A53" s="7">
        <v>45709</v>
      </c>
      <c r="B53">
        <v>89</v>
      </c>
    </row>
    <row r="54" spans="1:2" x14ac:dyDescent="0.3">
      <c r="A54" s="7">
        <v>45710</v>
      </c>
      <c r="B54">
        <v>100</v>
      </c>
    </row>
    <row r="55" spans="1:2" x14ac:dyDescent="0.3">
      <c r="A55" s="7">
        <v>45711</v>
      </c>
      <c r="B55">
        <v>124</v>
      </c>
    </row>
    <row r="56" spans="1:2" x14ac:dyDescent="0.3">
      <c r="A56" s="7">
        <v>45712</v>
      </c>
      <c r="B56">
        <v>119</v>
      </c>
    </row>
    <row r="57" spans="1:2" x14ac:dyDescent="0.3">
      <c r="A57" s="7">
        <v>45713</v>
      </c>
      <c r="B57">
        <v>42</v>
      </c>
    </row>
    <row r="58" spans="1:2" x14ac:dyDescent="0.3">
      <c r="A58" s="7">
        <v>45714</v>
      </c>
      <c r="B58">
        <v>32</v>
      </c>
    </row>
    <row r="59" spans="1:2" x14ac:dyDescent="0.3">
      <c r="A59" s="7">
        <v>45715</v>
      </c>
      <c r="B59">
        <v>108</v>
      </c>
    </row>
    <row r="60" spans="1:2" x14ac:dyDescent="0.3">
      <c r="A60" s="7">
        <v>45716</v>
      </c>
      <c r="B60">
        <v>123</v>
      </c>
    </row>
    <row r="61" spans="1:2" x14ac:dyDescent="0.3">
      <c r="A61" s="7">
        <v>45717</v>
      </c>
      <c r="B61">
        <v>104</v>
      </c>
    </row>
    <row r="62" spans="1:2" x14ac:dyDescent="0.3">
      <c r="A62" s="7">
        <v>45718</v>
      </c>
      <c r="B62">
        <v>101</v>
      </c>
    </row>
    <row r="63" spans="1:2" x14ac:dyDescent="0.3">
      <c r="A63" s="7">
        <v>45719</v>
      </c>
      <c r="B63">
        <v>100</v>
      </c>
    </row>
    <row r="64" spans="1:2" x14ac:dyDescent="0.3">
      <c r="A64" s="7">
        <v>45720</v>
      </c>
      <c r="B64">
        <v>43</v>
      </c>
    </row>
    <row r="65" spans="1:2" x14ac:dyDescent="0.3">
      <c r="A65" s="7">
        <v>45721</v>
      </c>
      <c r="B65">
        <v>30</v>
      </c>
    </row>
    <row r="66" spans="1:2" x14ac:dyDescent="0.3">
      <c r="A66" s="7">
        <v>45722</v>
      </c>
      <c r="B66">
        <v>84</v>
      </c>
    </row>
    <row r="67" spans="1:2" x14ac:dyDescent="0.3">
      <c r="A67" s="7">
        <v>45723</v>
      </c>
      <c r="B67">
        <v>140</v>
      </c>
    </row>
    <row r="68" spans="1:2" x14ac:dyDescent="0.3">
      <c r="A68" s="7">
        <v>45724</v>
      </c>
      <c r="B68">
        <v>150</v>
      </c>
    </row>
    <row r="69" spans="1:2" x14ac:dyDescent="0.3">
      <c r="A69" s="7">
        <v>45725</v>
      </c>
      <c r="B69">
        <v>127</v>
      </c>
    </row>
    <row r="70" spans="1:2" x14ac:dyDescent="0.3">
      <c r="A70" s="7">
        <v>45726</v>
      </c>
      <c r="B70">
        <v>113</v>
      </c>
    </row>
    <row r="71" spans="1:2" x14ac:dyDescent="0.3">
      <c r="A71" s="7">
        <v>45727</v>
      </c>
      <c r="B71">
        <v>47</v>
      </c>
    </row>
    <row r="72" spans="1:2" x14ac:dyDescent="0.3">
      <c r="A72" s="7">
        <v>45728</v>
      </c>
      <c r="B72">
        <v>36</v>
      </c>
    </row>
    <row r="73" spans="1:2" x14ac:dyDescent="0.3">
      <c r="A73" s="7">
        <v>45729</v>
      </c>
      <c r="B73">
        <v>120</v>
      </c>
    </row>
    <row r="74" spans="1:2" x14ac:dyDescent="0.3">
      <c r="A74" s="7">
        <v>45730</v>
      </c>
      <c r="B74">
        <v>129</v>
      </c>
    </row>
    <row r="75" spans="1:2" x14ac:dyDescent="0.3">
      <c r="A75" s="7">
        <v>45731</v>
      </c>
      <c r="B75">
        <v>117</v>
      </c>
    </row>
    <row r="76" spans="1:2" x14ac:dyDescent="0.3">
      <c r="A76" s="7">
        <v>45732</v>
      </c>
      <c r="B76">
        <v>87</v>
      </c>
    </row>
    <row r="77" spans="1:2" x14ac:dyDescent="0.3">
      <c r="A77" s="7">
        <v>45733</v>
      </c>
      <c r="B77">
        <v>98</v>
      </c>
    </row>
    <row r="78" spans="1:2" x14ac:dyDescent="0.3">
      <c r="A78" s="7">
        <v>45734</v>
      </c>
      <c r="B78">
        <v>34</v>
      </c>
    </row>
    <row r="79" spans="1:2" x14ac:dyDescent="0.3">
      <c r="A79" s="7">
        <v>45735</v>
      </c>
      <c r="B79">
        <v>25</v>
      </c>
    </row>
    <row r="80" spans="1:2" x14ac:dyDescent="0.3">
      <c r="A80" s="7">
        <v>45736</v>
      </c>
      <c r="B80">
        <v>121</v>
      </c>
    </row>
    <row r="81" spans="1:2" x14ac:dyDescent="0.3">
      <c r="A81" s="7">
        <v>45737</v>
      </c>
      <c r="B81">
        <v>115</v>
      </c>
    </row>
    <row r="82" spans="1:2" x14ac:dyDescent="0.3">
      <c r="A82" s="7">
        <v>45738</v>
      </c>
      <c r="B82">
        <v>116</v>
      </c>
    </row>
    <row r="83" spans="1:2" x14ac:dyDescent="0.3">
      <c r="A83" s="7">
        <v>45739</v>
      </c>
      <c r="B83">
        <v>105</v>
      </c>
    </row>
    <row r="84" spans="1:2" x14ac:dyDescent="0.3">
      <c r="A84" s="7">
        <v>45740</v>
      </c>
      <c r="B84">
        <v>101</v>
      </c>
    </row>
    <row r="85" spans="1:2" x14ac:dyDescent="0.3">
      <c r="A85" s="7">
        <v>45741</v>
      </c>
      <c r="B85">
        <v>47</v>
      </c>
    </row>
    <row r="86" spans="1:2" x14ac:dyDescent="0.3">
      <c r="A86" s="7">
        <v>45742</v>
      </c>
      <c r="B86">
        <v>55</v>
      </c>
    </row>
    <row r="87" spans="1:2" x14ac:dyDescent="0.3">
      <c r="A87" s="7">
        <v>45743</v>
      </c>
      <c r="B87">
        <v>106</v>
      </c>
    </row>
    <row r="88" spans="1:2" x14ac:dyDescent="0.3">
      <c r="A88" s="7">
        <v>45744</v>
      </c>
      <c r="B88">
        <v>124</v>
      </c>
    </row>
    <row r="89" spans="1:2" x14ac:dyDescent="0.3">
      <c r="A89" s="7">
        <v>45745</v>
      </c>
      <c r="B89">
        <v>139</v>
      </c>
    </row>
    <row r="90" spans="1:2" x14ac:dyDescent="0.3">
      <c r="A90" s="7">
        <v>45746</v>
      </c>
      <c r="B90">
        <v>100</v>
      </c>
    </row>
    <row r="91" spans="1:2" x14ac:dyDescent="0.3">
      <c r="A91" s="7">
        <v>45747</v>
      </c>
      <c r="B91">
        <v>113</v>
      </c>
    </row>
    <row r="92" spans="1:2" x14ac:dyDescent="0.3">
      <c r="A92" s="7">
        <v>45748</v>
      </c>
      <c r="B92">
        <v>37</v>
      </c>
    </row>
    <row r="93" spans="1:2" x14ac:dyDescent="0.3">
      <c r="A93" s="7">
        <v>45749</v>
      </c>
      <c r="B93">
        <v>20</v>
      </c>
    </row>
    <row r="94" spans="1:2" x14ac:dyDescent="0.3">
      <c r="A94" s="7">
        <v>45750</v>
      </c>
      <c r="B94">
        <v>93</v>
      </c>
    </row>
    <row r="95" spans="1:2" x14ac:dyDescent="0.3">
      <c r="A95" s="7">
        <v>45751</v>
      </c>
      <c r="B95">
        <v>116</v>
      </c>
    </row>
    <row r="96" spans="1:2" x14ac:dyDescent="0.3">
      <c r="A96" s="7">
        <v>45752</v>
      </c>
      <c r="B96">
        <v>129</v>
      </c>
    </row>
    <row r="97" spans="1:2" x14ac:dyDescent="0.3">
      <c r="A97" s="7">
        <v>45753</v>
      </c>
      <c r="B97">
        <v>108</v>
      </c>
    </row>
    <row r="98" spans="1:2" x14ac:dyDescent="0.3">
      <c r="A98" s="7">
        <v>45754</v>
      </c>
      <c r="B98">
        <v>71</v>
      </c>
    </row>
    <row r="99" spans="1:2" x14ac:dyDescent="0.3">
      <c r="A99" s="7">
        <v>45755</v>
      </c>
      <c r="B99">
        <v>31</v>
      </c>
    </row>
    <row r="100" spans="1:2" x14ac:dyDescent="0.3">
      <c r="A100" s="7">
        <v>45756</v>
      </c>
      <c r="B100">
        <v>22</v>
      </c>
    </row>
    <row r="101" spans="1:2" x14ac:dyDescent="0.3">
      <c r="A101" s="7">
        <v>45757</v>
      </c>
      <c r="B101">
        <v>66</v>
      </c>
    </row>
    <row r="102" spans="1:2" x14ac:dyDescent="0.3">
      <c r="A102" s="7">
        <v>45758</v>
      </c>
      <c r="B102">
        <v>91</v>
      </c>
    </row>
    <row r="103" spans="1:2" x14ac:dyDescent="0.3">
      <c r="A103" s="7">
        <v>45759</v>
      </c>
      <c r="B103">
        <v>152</v>
      </c>
    </row>
    <row r="104" spans="1:2" x14ac:dyDescent="0.3">
      <c r="A104" s="7">
        <v>45760</v>
      </c>
      <c r="B104">
        <v>120</v>
      </c>
    </row>
    <row r="105" spans="1:2" x14ac:dyDescent="0.3">
      <c r="A105" s="7">
        <v>45761</v>
      </c>
      <c r="B105">
        <v>105</v>
      </c>
    </row>
    <row r="106" spans="1:2" x14ac:dyDescent="0.3">
      <c r="A106" s="7">
        <v>45762</v>
      </c>
      <c r="B106">
        <v>43</v>
      </c>
    </row>
    <row r="107" spans="1:2" x14ac:dyDescent="0.3">
      <c r="A107" s="7">
        <v>45763</v>
      </c>
      <c r="B107">
        <v>9</v>
      </c>
    </row>
    <row r="108" spans="1:2" x14ac:dyDescent="0.3">
      <c r="A108" s="7">
        <v>45764</v>
      </c>
      <c r="B108">
        <v>105</v>
      </c>
    </row>
    <row r="109" spans="1:2" x14ac:dyDescent="0.3">
      <c r="A109" s="7">
        <v>45765</v>
      </c>
      <c r="B109">
        <v>143</v>
      </c>
    </row>
    <row r="110" spans="1:2" x14ac:dyDescent="0.3">
      <c r="A110" s="7">
        <v>45766</v>
      </c>
      <c r="B110">
        <v>118</v>
      </c>
    </row>
    <row r="111" spans="1:2" x14ac:dyDescent="0.3">
      <c r="A111" s="7">
        <v>45767</v>
      </c>
      <c r="B111">
        <v>90</v>
      </c>
    </row>
    <row r="112" spans="1:2" x14ac:dyDescent="0.3">
      <c r="A112" s="7">
        <v>45768</v>
      </c>
      <c r="B112">
        <v>140</v>
      </c>
    </row>
    <row r="113" spans="1:2" x14ac:dyDescent="0.3">
      <c r="A113" s="7">
        <v>45769</v>
      </c>
      <c r="B113">
        <v>29</v>
      </c>
    </row>
    <row r="114" spans="1:2" x14ac:dyDescent="0.3">
      <c r="A114" s="7">
        <v>45770</v>
      </c>
      <c r="B114">
        <v>21</v>
      </c>
    </row>
    <row r="115" spans="1:2" x14ac:dyDescent="0.3">
      <c r="A115" s="7">
        <v>45771</v>
      </c>
      <c r="B115">
        <v>96</v>
      </c>
    </row>
    <row r="116" spans="1:2" x14ac:dyDescent="0.3">
      <c r="A116" s="7">
        <v>45772</v>
      </c>
      <c r="B116">
        <v>129</v>
      </c>
    </row>
    <row r="117" spans="1:2" x14ac:dyDescent="0.3">
      <c r="A117" s="7">
        <v>45773</v>
      </c>
      <c r="B117">
        <v>137</v>
      </c>
    </row>
    <row r="118" spans="1:2" x14ac:dyDescent="0.3">
      <c r="A118" s="7">
        <v>45774</v>
      </c>
      <c r="B118">
        <v>133</v>
      </c>
    </row>
    <row r="119" spans="1:2" x14ac:dyDescent="0.3">
      <c r="A119" s="7">
        <v>45775</v>
      </c>
      <c r="B119">
        <v>144</v>
      </c>
    </row>
    <row r="120" spans="1:2" x14ac:dyDescent="0.3">
      <c r="A120" s="7">
        <v>45776</v>
      </c>
      <c r="B120">
        <v>51</v>
      </c>
    </row>
    <row r="121" spans="1:2" x14ac:dyDescent="0.3">
      <c r="A121" s="7">
        <v>45777</v>
      </c>
      <c r="B121">
        <v>39</v>
      </c>
    </row>
    <row r="122" spans="1:2" x14ac:dyDescent="0.3">
      <c r="A122" s="7">
        <v>45778</v>
      </c>
      <c r="B122">
        <v>71</v>
      </c>
    </row>
    <row r="123" spans="1:2" x14ac:dyDescent="0.3">
      <c r="A123" s="7">
        <v>45779</v>
      </c>
      <c r="B123">
        <v>145</v>
      </c>
    </row>
    <row r="124" spans="1:2" x14ac:dyDescent="0.3">
      <c r="A124" s="7">
        <v>45780</v>
      </c>
      <c r="B124">
        <v>123</v>
      </c>
    </row>
    <row r="125" spans="1:2" x14ac:dyDescent="0.3">
      <c r="A125" s="7">
        <v>45781</v>
      </c>
      <c r="B125">
        <v>117</v>
      </c>
    </row>
    <row r="126" spans="1:2" x14ac:dyDescent="0.3">
      <c r="A126" s="7">
        <v>45782</v>
      </c>
      <c r="B126">
        <v>152</v>
      </c>
    </row>
    <row r="127" spans="1:2" x14ac:dyDescent="0.3">
      <c r="A127" s="7">
        <v>45783</v>
      </c>
      <c r="B127">
        <v>47</v>
      </c>
    </row>
    <row r="128" spans="1:2" x14ac:dyDescent="0.3">
      <c r="A128" s="7">
        <v>45784</v>
      </c>
      <c r="B128">
        <v>31</v>
      </c>
    </row>
    <row r="129" spans="1:2" x14ac:dyDescent="0.3">
      <c r="A129" s="7">
        <v>45785</v>
      </c>
      <c r="B129">
        <v>115</v>
      </c>
    </row>
    <row r="130" spans="1:2" x14ac:dyDescent="0.3">
      <c r="A130" s="7">
        <v>45786</v>
      </c>
      <c r="B130">
        <v>166</v>
      </c>
    </row>
    <row r="131" spans="1:2" x14ac:dyDescent="0.3">
      <c r="A131" s="7">
        <v>45787</v>
      </c>
      <c r="B131">
        <v>122</v>
      </c>
    </row>
    <row r="132" spans="1:2" x14ac:dyDescent="0.3">
      <c r="A132" s="7">
        <v>45788</v>
      </c>
      <c r="B132">
        <v>153</v>
      </c>
    </row>
    <row r="133" spans="1:2" x14ac:dyDescent="0.3">
      <c r="A133" s="7">
        <v>45789</v>
      </c>
      <c r="B133">
        <v>143</v>
      </c>
    </row>
    <row r="134" spans="1:2" x14ac:dyDescent="0.3">
      <c r="A134" s="7">
        <v>45790</v>
      </c>
      <c r="B134">
        <v>50</v>
      </c>
    </row>
    <row r="135" spans="1:2" x14ac:dyDescent="0.3">
      <c r="A135" s="7">
        <v>45791</v>
      </c>
      <c r="B135">
        <v>20</v>
      </c>
    </row>
    <row r="136" spans="1:2" x14ac:dyDescent="0.3">
      <c r="A136" s="7">
        <v>45792</v>
      </c>
      <c r="B136">
        <v>135</v>
      </c>
    </row>
    <row r="137" spans="1:2" x14ac:dyDescent="0.3">
      <c r="A137" s="7">
        <v>45793</v>
      </c>
      <c r="B137">
        <v>122</v>
      </c>
    </row>
    <row r="138" spans="1:2" x14ac:dyDescent="0.3">
      <c r="A138" s="7">
        <v>45794</v>
      </c>
      <c r="B138">
        <v>141</v>
      </c>
    </row>
    <row r="139" spans="1:2" x14ac:dyDescent="0.3">
      <c r="A139" s="7">
        <v>45795</v>
      </c>
      <c r="B139">
        <v>33</v>
      </c>
    </row>
    <row r="140" spans="1:2" x14ac:dyDescent="0.3">
      <c r="A140" s="7">
        <v>45796</v>
      </c>
      <c r="B140">
        <v>8</v>
      </c>
    </row>
    <row r="141" spans="1:2" x14ac:dyDescent="0.3">
      <c r="A141" s="7">
        <v>45797</v>
      </c>
      <c r="B141">
        <v>6</v>
      </c>
    </row>
    <row r="142" spans="1:2" x14ac:dyDescent="0.3">
      <c r="A142" s="7">
        <v>45798</v>
      </c>
      <c r="B142">
        <v>1</v>
      </c>
    </row>
    <row r="143" spans="1:2" x14ac:dyDescent="0.3">
      <c r="A143" s="7">
        <v>45799</v>
      </c>
      <c r="B143">
        <v>1</v>
      </c>
    </row>
    <row r="144" spans="1:2" x14ac:dyDescent="0.3">
      <c r="A144" s="7">
        <v>45800</v>
      </c>
      <c r="B144">
        <v>1</v>
      </c>
    </row>
    <row r="145" spans="1:2" x14ac:dyDescent="0.3">
      <c r="A145" s="7">
        <v>45801</v>
      </c>
      <c r="B145">
        <v>92</v>
      </c>
    </row>
    <row r="146" spans="1:2" x14ac:dyDescent="0.3">
      <c r="A146" s="7">
        <v>45802</v>
      </c>
      <c r="B146">
        <v>156</v>
      </c>
    </row>
    <row r="147" spans="1:2" x14ac:dyDescent="0.3">
      <c r="A147" s="7">
        <v>45803</v>
      </c>
      <c r="B147">
        <v>140</v>
      </c>
    </row>
    <row r="148" spans="1:2" x14ac:dyDescent="0.3">
      <c r="A148" s="7">
        <v>45804</v>
      </c>
      <c r="B148">
        <v>57</v>
      </c>
    </row>
    <row r="149" spans="1:2" x14ac:dyDescent="0.3">
      <c r="A149" s="7">
        <v>45805</v>
      </c>
      <c r="B149">
        <v>21</v>
      </c>
    </row>
    <row r="150" spans="1:2" x14ac:dyDescent="0.3">
      <c r="A150" s="7">
        <v>45806</v>
      </c>
      <c r="B150">
        <v>57</v>
      </c>
    </row>
    <row r="151" spans="1:2" x14ac:dyDescent="0.3">
      <c r="A151" s="7">
        <v>45807</v>
      </c>
      <c r="B151">
        <v>99</v>
      </c>
    </row>
    <row r="152" spans="1:2" x14ac:dyDescent="0.3">
      <c r="A152" s="7">
        <v>45808</v>
      </c>
      <c r="B152">
        <v>121</v>
      </c>
    </row>
    <row r="153" spans="1:2" x14ac:dyDescent="0.3">
      <c r="A153" s="7">
        <v>45809</v>
      </c>
      <c r="B153">
        <v>109</v>
      </c>
    </row>
    <row r="154" spans="1:2" x14ac:dyDescent="0.3">
      <c r="A154" s="7">
        <v>45810</v>
      </c>
      <c r="B154">
        <v>126</v>
      </c>
    </row>
    <row r="155" spans="1:2" x14ac:dyDescent="0.3">
      <c r="A155" s="7">
        <v>45811</v>
      </c>
      <c r="B155">
        <v>44</v>
      </c>
    </row>
    <row r="156" spans="1:2" x14ac:dyDescent="0.3">
      <c r="A156" s="7">
        <v>45812</v>
      </c>
      <c r="B156">
        <v>16</v>
      </c>
    </row>
    <row r="157" spans="1:2" x14ac:dyDescent="0.3">
      <c r="A157" s="7">
        <v>45813</v>
      </c>
      <c r="B157">
        <v>126</v>
      </c>
    </row>
    <row r="158" spans="1:2" x14ac:dyDescent="0.3">
      <c r="A158" s="7">
        <v>45814</v>
      </c>
      <c r="B158">
        <v>144</v>
      </c>
    </row>
    <row r="159" spans="1:2" x14ac:dyDescent="0.3">
      <c r="A159" s="7">
        <v>45815</v>
      </c>
      <c r="B159">
        <v>140</v>
      </c>
    </row>
    <row r="160" spans="1:2" x14ac:dyDescent="0.3">
      <c r="A160" s="7">
        <v>45816</v>
      </c>
      <c r="B160">
        <v>117</v>
      </c>
    </row>
    <row r="161" spans="1:2" x14ac:dyDescent="0.3">
      <c r="A161" s="7">
        <v>45817</v>
      </c>
      <c r="B161">
        <v>121</v>
      </c>
    </row>
    <row r="162" spans="1:2" x14ac:dyDescent="0.3">
      <c r="A162" s="7">
        <v>45818</v>
      </c>
      <c r="B162">
        <v>54</v>
      </c>
    </row>
    <row r="163" spans="1:2" x14ac:dyDescent="0.3">
      <c r="A163" s="7">
        <v>45819</v>
      </c>
      <c r="B163">
        <v>13</v>
      </c>
    </row>
    <row r="164" spans="1:2" x14ac:dyDescent="0.3">
      <c r="A164" s="7">
        <v>45820</v>
      </c>
      <c r="B164">
        <v>141</v>
      </c>
    </row>
    <row r="165" spans="1:2" x14ac:dyDescent="0.3">
      <c r="A165" s="7">
        <v>45821</v>
      </c>
      <c r="B165">
        <v>100</v>
      </c>
    </row>
    <row r="166" spans="1:2" x14ac:dyDescent="0.3">
      <c r="A166" s="7">
        <v>45822</v>
      </c>
      <c r="B166">
        <v>157</v>
      </c>
    </row>
    <row r="167" spans="1:2" x14ac:dyDescent="0.3">
      <c r="A167" s="7">
        <v>45823</v>
      </c>
      <c r="B167">
        <v>159</v>
      </c>
    </row>
    <row r="168" spans="1:2" x14ac:dyDescent="0.3">
      <c r="A168" s="7">
        <v>45824</v>
      </c>
      <c r="B168">
        <v>121</v>
      </c>
    </row>
    <row r="169" spans="1:2" x14ac:dyDescent="0.3">
      <c r="A169" s="7">
        <v>45825</v>
      </c>
      <c r="B169">
        <v>39</v>
      </c>
    </row>
    <row r="170" spans="1:2" x14ac:dyDescent="0.3">
      <c r="A170" s="7">
        <v>45826</v>
      </c>
      <c r="B170">
        <v>28</v>
      </c>
    </row>
    <row r="171" spans="1:2" x14ac:dyDescent="0.3">
      <c r="A171" s="7">
        <v>45827</v>
      </c>
      <c r="B171">
        <v>96</v>
      </c>
    </row>
    <row r="172" spans="1:2" x14ac:dyDescent="0.3">
      <c r="A172" s="7">
        <v>45828</v>
      </c>
      <c r="B172">
        <v>137</v>
      </c>
    </row>
    <row r="173" spans="1:2" x14ac:dyDescent="0.3">
      <c r="A173" s="7">
        <v>45829</v>
      </c>
      <c r="B173">
        <v>146</v>
      </c>
    </row>
    <row r="174" spans="1:2" x14ac:dyDescent="0.3">
      <c r="A174" s="7">
        <v>45830</v>
      </c>
      <c r="B174">
        <v>152</v>
      </c>
    </row>
    <row r="175" spans="1:2" x14ac:dyDescent="0.3">
      <c r="A175" s="7">
        <v>45831</v>
      </c>
      <c r="B175">
        <v>148</v>
      </c>
    </row>
    <row r="176" spans="1:2" x14ac:dyDescent="0.3">
      <c r="A176" s="7">
        <v>45832</v>
      </c>
      <c r="B176">
        <v>53</v>
      </c>
    </row>
    <row r="177" spans="1:2" x14ac:dyDescent="0.3">
      <c r="A177" s="7">
        <v>45833</v>
      </c>
      <c r="B177">
        <v>28</v>
      </c>
    </row>
    <row r="178" spans="1:2" x14ac:dyDescent="0.3">
      <c r="A178" s="7">
        <v>45834</v>
      </c>
      <c r="B178">
        <v>134</v>
      </c>
    </row>
    <row r="179" spans="1:2" x14ac:dyDescent="0.3">
      <c r="A179" s="7">
        <v>45835</v>
      </c>
      <c r="B179">
        <v>176</v>
      </c>
    </row>
    <row r="180" spans="1:2" x14ac:dyDescent="0.3">
      <c r="A180" s="7">
        <v>45836</v>
      </c>
      <c r="B180">
        <v>142</v>
      </c>
    </row>
    <row r="181" spans="1:2" x14ac:dyDescent="0.3">
      <c r="A181" s="7">
        <v>45837</v>
      </c>
      <c r="B181">
        <v>144</v>
      </c>
    </row>
    <row r="182" spans="1:2" x14ac:dyDescent="0.3">
      <c r="A182" s="7">
        <v>45838</v>
      </c>
      <c r="B182">
        <v>123</v>
      </c>
    </row>
    <row r="183" spans="1:2" x14ac:dyDescent="0.3">
      <c r="A183" s="7">
        <v>45839</v>
      </c>
      <c r="B183">
        <v>63</v>
      </c>
    </row>
    <row r="184" spans="1:2" x14ac:dyDescent="0.3">
      <c r="A184" s="7">
        <v>45840</v>
      </c>
      <c r="B184">
        <v>21</v>
      </c>
    </row>
    <row r="185" spans="1:2" x14ac:dyDescent="0.3">
      <c r="A185" s="7">
        <v>45841</v>
      </c>
      <c r="B185">
        <v>89</v>
      </c>
    </row>
    <row r="186" spans="1:2" x14ac:dyDescent="0.3">
      <c r="A186" s="7">
        <v>45842</v>
      </c>
      <c r="B186">
        <v>92</v>
      </c>
    </row>
    <row r="187" spans="1:2" x14ac:dyDescent="0.3">
      <c r="A187" s="7">
        <v>45843</v>
      </c>
      <c r="B187">
        <v>131</v>
      </c>
    </row>
    <row r="188" spans="1:2" x14ac:dyDescent="0.3">
      <c r="A188" s="7">
        <v>45844</v>
      </c>
      <c r="B188">
        <v>146</v>
      </c>
    </row>
    <row r="189" spans="1:2" x14ac:dyDescent="0.3">
      <c r="A189" s="7">
        <v>45845</v>
      </c>
      <c r="B189">
        <v>132</v>
      </c>
    </row>
    <row r="190" spans="1:2" x14ac:dyDescent="0.3">
      <c r="A190" s="7">
        <v>45846</v>
      </c>
      <c r="B190">
        <v>64</v>
      </c>
    </row>
    <row r="191" spans="1:2" x14ac:dyDescent="0.3">
      <c r="A191" s="7">
        <v>45847</v>
      </c>
      <c r="B191">
        <v>29</v>
      </c>
    </row>
    <row r="192" spans="1:2" x14ac:dyDescent="0.3">
      <c r="A192" s="7">
        <v>45848</v>
      </c>
      <c r="B192">
        <v>102</v>
      </c>
    </row>
    <row r="193" spans="1:2" x14ac:dyDescent="0.3">
      <c r="A193" s="7">
        <v>45849</v>
      </c>
      <c r="B193">
        <v>141</v>
      </c>
    </row>
    <row r="194" spans="1:2" x14ac:dyDescent="0.3">
      <c r="A194" s="7">
        <v>45850</v>
      </c>
      <c r="B194">
        <v>133</v>
      </c>
    </row>
    <row r="195" spans="1:2" x14ac:dyDescent="0.3">
      <c r="A195" s="7">
        <v>45851</v>
      </c>
      <c r="B195">
        <v>123</v>
      </c>
    </row>
    <row r="196" spans="1:2" x14ac:dyDescent="0.3">
      <c r="A196" s="7">
        <v>45852</v>
      </c>
      <c r="B196">
        <v>143</v>
      </c>
    </row>
    <row r="197" spans="1:2" x14ac:dyDescent="0.3">
      <c r="A197" s="7">
        <v>45853</v>
      </c>
      <c r="B197">
        <v>47</v>
      </c>
    </row>
    <row r="198" spans="1:2" x14ac:dyDescent="0.3">
      <c r="A198" s="7">
        <v>45854</v>
      </c>
      <c r="B198">
        <v>14</v>
      </c>
    </row>
    <row r="199" spans="1:2" x14ac:dyDescent="0.3">
      <c r="A199" s="7">
        <v>45855</v>
      </c>
      <c r="B199">
        <v>134</v>
      </c>
    </row>
    <row r="200" spans="1:2" x14ac:dyDescent="0.3">
      <c r="A200" s="7">
        <v>45856</v>
      </c>
      <c r="B200">
        <v>119</v>
      </c>
    </row>
    <row r="201" spans="1:2" x14ac:dyDescent="0.3">
      <c r="A201" s="7">
        <v>45857</v>
      </c>
      <c r="B201">
        <v>133</v>
      </c>
    </row>
    <row r="202" spans="1:2" x14ac:dyDescent="0.3">
      <c r="A202" s="7">
        <v>45858</v>
      </c>
      <c r="B202">
        <v>135</v>
      </c>
    </row>
    <row r="203" spans="1:2" x14ac:dyDescent="0.3">
      <c r="A203" s="7">
        <v>45859</v>
      </c>
      <c r="B203">
        <v>109</v>
      </c>
    </row>
    <row r="204" spans="1:2" x14ac:dyDescent="0.3">
      <c r="A204" s="7">
        <v>45860</v>
      </c>
      <c r="B204">
        <v>56</v>
      </c>
    </row>
    <row r="205" spans="1:2" x14ac:dyDescent="0.3">
      <c r="A205" s="7">
        <v>45861</v>
      </c>
      <c r="B205">
        <v>33</v>
      </c>
    </row>
    <row r="206" spans="1:2" x14ac:dyDescent="0.3">
      <c r="A206" s="7">
        <v>45862</v>
      </c>
      <c r="B206">
        <v>98</v>
      </c>
    </row>
    <row r="207" spans="1:2" x14ac:dyDescent="0.3">
      <c r="A207" s="7">
        <v>45863</v>
      </c>
      <c r="B207">
        <v>133</v>
      </c>
    </row>
    <row r="208" spans="1:2" x14ac:dyDescent="0.3">
      <c r="A208" s="7">
        <v>45864</v>
      </c>
      <c r="B208">
        <v>136</v>
      </c>
    </row>
    <row r="209" spans="1:2" x14ac:dyDescent="0.3">
      <c r="A209" s="7">
        <v>45865</v>
      </c>
      <c r="B209">
        <v>95</v>
      </c>
    </row>
    <row r="210" spans="1:2" x14ac:dyDescent="0.3">
      <c r="A210" s="7">
        <v>45866</v>
      </c>
      <c r="B210">
        <v>90</v>
      </c>
    </row>
    <row r="211" spans="1:2" x14ac:dyDescent="0.3">
      <c r="A211" s="7">
        <v>45867</v>
      </c>
      <c r="B211">
        <v>33</v>
      </c>
    </row>
    <row r="212" spans="1:2" x14ac:dyDescent="0.3">
      <c r="A212" s="7">
        <v>45868</v>
      </c>
      <c r="B212">
        <v>23</v>
      </c>
    </row>
    <row r="213" spans="1:2" x14ac:dyDescent="0.3">
      <c r="A213" s="7">
        <v>45869</v>
      </c>
      <c r="B213">
        <v>86</v>
      </c>
    </row>
    <row r="214" spans="1:2" x14ac:dyDescent="0.3">
      <c r="A214" s="7">
        <v>45870</v>
      </c>
      <c r="B214">
        <v>73</v>
      </c>
    </row>
    <row r="215" spans="1:2" x14ac:dyDescent="0.3">
      <c r="A215" s="7">
        <v>45871</v>
      </c>
      <c r="B215">
        <v>87</v>
      </c>
    </row>
    <row r="216" spans="1:2" x14ac:dyDescent="0.3">
      <c r="A216" s="7">
        <v>45872</v>
      </c>
      <c r="B216">
        <v>88</v>
      </c>
    </row>
    <row r="217" spans="1:2" x14ac:dyDescent="0.3">
      <c r="A217" s="7">
        <v>45873</v>
      </c>
      <c r="B217">
        <v>106</v>
      </c>
    </row>
    <row r="218" spans="1:2" x14ac:dyDescent="0.3">
      <c r="A218" s="7">
        <v>45874</v>
      </c>
      <c r="B218">
        <v>54</v>
      </c>
    </row>
    <row r="219" spans="1:2" x14ac:dyDescent="0.3">
      <c r="A219" s="7">
        <v>45875</v>
      </c>
      <c r="B219">
        <v>33</v>
      </c>
    </row>
    <row r="220" spans="1:2" x14ac:dyDescent="0.3">
      <c r="A220" s="7">
        <v>45876</v>
      </c>
      <c r="B220">
        <v>149</v>
      </c>
    </row>
    <row r="221" spans="1:2" x14ac:dyDescent="0.3">
      <c r="A221" s="7">
        <v>45877</v>
      </c>
      <c r="B221">
        <v>181</v>
      </c>
    </row>
    <row r="222" spans="1:2" x14ac:dyDescent="0.3">
      <c r="A222" s="7">
        <v>45878</v>
      </c>
      <c r="B222">
        <v>121</v>
      </c>
    </row>
    <row r="223" spans="1:2" x14ac:dyDescent="0.3">
      <c r="A223" s="7">
        <v>45879</v>
      </c>
      <c r="B223">
        <v>125</v>
      </c>
    </row>
    <row r="224" spans="1:2" x14ac:dyDescent="0.3">
      <c r="A224" s="7">
        <v>45880</v>
      </c>
      <c r="B224">
        <v>116</v>
      </c>
    </row>
    <row r="225" spans="1:2" x14ac:dyDescent="0.3">
      <c r="A225" s="7">
        <v>45881</v>
      </c>
      <c r="B225">
        <v>76</v>
      </c>
    </row>
    <row r="226" spans="1:2" x14ac:dyDescent="0.3">
      <c r="A226" s="7">
        <v>45882</v>
      </c>
      <c r="B226">
        <v>84</v>
      </c>
    </row>
    <row r="227" spans="1:2" x14ac:dyDescent="0.3">
      <c r="A227" s="7">
        <v>45883</v>
      </c>
      <c r="B227">
        <v>148</v>
      </c>
    </row>
    <row r="228" spans="1:2" x14ac:dyDescent="0.3">
      <c r="A228" s="7">
        <v>45884</v>
      </c>
      <c r="B228">
        <v>150</v>
      </c>
    </row>
    <row r="229" spans="1:2" x14ac:dyDescent="0.3">
      <c r="A229" s="7">
        <v>45885</v>
      </c>
      <c r="B229">
        <v>167</v>
      </c>
    </row>
    <row r="230" spans="1:2" x14ac:dyDescent="0.3">
      <c r="A230" s="7">
        <v>45886</v>
      </c>
      <c r="B230">
        <v>141</v>
      </c>
    </row>
    <row r="231" spans="1:2" x14ac:dyDescent="0.3">
      <c r="A231" s="7">
        <v>45887</v>
      </c>
      <c r="B231">
        <v>145</v>
      </c>
    </row>
    <row r="232" spans="1:2" x14ac:dyDescent="0.3">
      <c r="A232" s="7">
        <v>45888</v>
      </c>
      <c r="B232">
        <v>101</v>
      </c>
    </row>
    <row r="233" spans="1:2" x14ac:dyDescent="0.3">
      <c r="A233" s="7">
        <v>45889</v>
      </c>
      <c r="B233">
        <v>41</v>
      </c>
    </row>
    <row r="234" spans="1:2" x14ac:dyDescent="0.3">
      <c r="A234" s="7">
        <v>45890</v>
      </c>
      <c r="B234">
        <v>146</v>
      </c>
    </row>
    <row r="235" spans="1:2" x14ac:dyDescent="0.3">
      <c r="A235" s="7">
        <v>45891</v>
      </c>
      <c r="B235">
        <v>140</v>
      </c>
    </row>
    <row r="236" spans="1:2" x14ac:dyDescent="0.3">
      <c r="A236" s="7">
        <v>45892</v>
      </c>
      <c r="B236">
        <v>145</v>
      </c>
    </row>
    <row r="237" spans="1:2" x14ac:dyDescent="0.3">
      <c r="A237" s="7">
        <v>45893</v>
      </c>
      <c r="B237">
        <v>127</v>
      </c>
    </row>
    <row r="238" spans="1:2" x14ac:dyDescent="0.3">
      <c r="A238" s="7">
        <v>45894</v>
      </c>
      <c r="B238">
        <v>126</v>
      </c>
    </row>
    <row r="239" spans="1:2" x14ac:dyDescent="0.3">
      <c r="A239" s="7">
        <v>45895</v>
      </c>
      <c r="B239">
        <v>60</v>
      </c>
    </row>
    <row r="240" spans="1:2" x14ac:dyDescent="0.3">
      <c r="A240" s="7">
        <v>45896</v>
      </c>
      <c r="B240">
        <v>69</v>
      </c>
    </row>
    <row r="241" spans="1:2" x14ac:dyDescent="0.3">
      <c r="A241" s="7">
        <v>45897</v>
      </c>
      <c r="B241">
        <v>136</v>
      </c>
    </row>
    <row r="242" spans="1:2" x14ac:dyDescent="0.3">
      <c r="A242" s="7">
        <v>45898</v>
      </c>
      <c r="B242">
        <v>134</v>
      </c>
    </row>
    <row r="243" spans="1:2" x14ac:dyDescent="0.3">
      <c r="A243" s="7">
        <v>45899</v>
      </c>
      <c r="B243">
        <v>160</v>
      </c>
    </row>
    <row r="244" spans="1:2" x14ac:dyDescent="0.3">
      <c r="A244" s="7">
        <v>45900</v>
      </c>
      <c r="B244">
        <v>125</v>
      </c>
    </row>
    <row r="245" spans="1:2" x14ac:dyDescent="0.3">
      <c r="A245" s="7">
        <v>45901</v>
      </c>
      <c r="B245">
        <v>132</v>
      </c>
    </row>
    <row r="246" spans="1:2" x14ac:dyDescent="0.3">
      <c r="A246" s="7">
        <v>45902</v>
      </c>
      <c r="B246">
        <v>99</v>
      </c>
    </row>
    <row r="247" spans="1:2" x14ac:dyDescent="0.3">
      <c r="A247" s="7">
        <v>45903</v>
      </c>
      <c r="B247">
        <v>68</v>
      </c>
    </row>
    <row r="248" spans="1:2" x14ac:dyDescent="0.3">
      <c r="A248" s="7">
        <v>45904</v>
      </c>
      <c r="B248">
        <v>110</v>
      </c>
    </row>
    <row r="249" spans="1:2" x14ac:dyDescent="0.3">
      <c r="A249" s="7">
        <v>45905</v>
      </c>
      <c r="B249">
        <v>136</v>
      </c>
    </row>
    <row r="250" spans="1:2" x14ac:dyDescent="0.3">
      <c r="A250" s="7">
        <v>45906</v>
      </c>
      <c r="B250">
        <v>110</v>
      </c>
    </row>
    <row r="251" spans="1:2" x14ac:dyDescent="0.3">
      <c r="A251" s="7">
        <v>45907</v>
      </c>
      <c r="B251">
        <v>80</v>
      </c>
    </row>
    <row r="252" spans="1:2" x14ac:dyDescent="0.3">
      <c r="A252" s="7">
        <v>45908</v>
      </c>
      <c r="B252">
        <v>61</v>
      </c>
    </row>
    <row r="253" spans="1:2" x14ac:dyDescent="0.3">
      <c r="A253" s="7">
        <v>45909</v>
      </c>
      <c r="B253">
        <v>54</v>
      </c>
    </row>
    <row r="254" spans="1:2" x14ac:dyDescent="0.3">
      <c r="A254" s="7">
        <v>45910</v>
      </c>
      <c r="B254">
        <v>39</v>
      </c>
    </row>
    <row r="255" spans="1:2" x14ac:dyDescent="0.3">
      <c r="A255" s="7">
        <v>45911</v>
      </c>
      <c r="B255">
        <v>81</v>
      </c>
    </row>
    <row r="256" spans="1:2" x14ac:dyDescent="0.3">
      <c r="A256" s="7">
        <v>45912</v>
      </c>
      <c r="B256">
        <v>90</v>
      </c>
    </row>
    <row r="257" spans="1:2" x14ac:dyDescent="0.3">
      <c r="A257" s="7">
        <v>45913</v>
      </c>
      <c r="B257">
        <v>74</v>
      </c>
    </row>
    <row r="258" spans="1:2" x14ac:dyDescent="0.3">
      <c r="A258" s="7">
        <v>45914</v>
      </c>
      <c r="B258">
        <v>45</v>
      </c>
    </row>
    <row r="259" spans="1:2" x14ac:dyDescent="0.3">
      <c r="A259" s="7">
        <v>45915</v>
      </c>
      <c r="B259">
        <v>94</v>
      </c>
    </row>
    <row r="260" spans="1:2" x14ac:dyDescent="0.3">
      <c r="A260" s="7">
        <v>45916</v>
      </c>
      <c r="B260">
        <v>66</v>
      </c>
    </row>
    <row r="261" spans="1:2" x14ac:dyDescent="0.3">
      <c r="A261" s="7">
        <v>45917</v>
      </c>
      <c r="B261">
        <v>52</v>
      </c>
    </row>
    <row r="262" spans="1:2" x14ac:dyDescent="0.3">
      <c r="A262" s="7">
        <v>45918</v>
      </c>
      <c r="B262">
        <v>198</v>
      </c>
    </row>
    <row r="263" spans="1:2" x14ac:dyDescent="0.3">
      <c r="A263" s="7">
        <v>45919</v>
      </c>
      <c r="B263">
        <v>127</v>
      </c>
    </row>
    <row r="264" spans="1:2" x14ac:dyDescent="0.3">
      <c r="A264" s="7">
        <v>45920</v>
      </c>
      <c r="B264">
        <v>116</v>
      </c>
    </row>
    <row r="265" spans="1:2" x14ac:dyDescent="0.3">
      <c r="A265" s="7">
        <v>45921</v>
      </c>
      <c r="B265">
        <v>107</v>
      </c>
    </row>
    <row r="266" spans="1:2" x14ac:dyDescent="0.3">
      <c r="A266" s="7">
        <v>45922</v>
      </c>
      <c r="B266">
        <v>90</v>
      </c>
    </row>
    <row r="267" spans="1:2" x14ac:dyDescent="0.3">
      <c r="A267" s="7">
        <v>45923</v>
      </c>
      <c r="B267">
        <v>48</v>
      </c>
    </row>
    <row r="268" spans="1:2" x14ac:dyDescent="0.3">
      <c r="A268" s="7">
        <v>45924</v>
      </c>
      <c r="B268">
        <v>28</v>
      </c>
    </row>
    <row r="269" spans="1:2" x14ac:dyDescent="0.3">
      <c r="A269" s="7">
        <v>45925</v>
      </c>
      <c r="B269">
        <v>108</v>
      </c>
    </row>
    <row r="270" spans="1:2" x14ac:dyDescent="0.3">
      <c r="A270" s="7">
        <v>45926</v>
      </c>
      <c r="B270">
        <v>79</v>
      </c>
    </row>
    <row r="271" spans="1:2" x14ac:dyDescent="0.3">
      <c r="A271" s="7">
        <v>45927</v>
      </c>
      <c r="B271">
        <v>108</v>
      </c>
    </row>
    <row r="272" spans="1:2" x14ac:dyDescent="0.3">
      <c r="A272" s="7">
        <v>45928</v>
      </c>
      <c r="B272">
        <v>83</v>
      </c>
    </row>
    <row r="273" spans="1:2" x14ac:dyDescent="0.3">
      <c r="A273" s="7">
        <v>45929</v>
      </c>
      <c r="B273">
        <v>115</v>
      </c>
    </row>
    <row r="274" spans="1:2" x14ac:dyDescent="0.3">
      <c r="A274" s="7">
        <v>45930</v>
      </c>
      <c r="B274">
        <v>43</v>
      </c>
    </row>
    <row r="275" spans="1:2" x14ac:dyDescent="0.3">
      <c r="A275" s="7">
        <v>45931</v>
      </c>
      <c r="B275">
        <v>71</v>
      </c>
    </row>
    <row r="276" spans="1:2" x14ac:dyDescent="0.3">
      <c r="A276" s="7">
        <v>45932</v>
      </c>
      <c r="B276">
        <v>95</v>
      </c>
    </row>
    <row r="277" spans="1:2" x14ac:dyDescent="0.3">
      <c r="A277" s="7">
        <v>45933</v>
      </c>
      <c r="B277">
        <v>99</v>
      </c>
    </row>
    <row r="278" spans="1:2" x14ac:dyDescent="0.3">
      <c r="A278" s="7">
        <v>45934</v>
      </c>
      <c r="B278">
        <v>105</v>
      </c>
    </row>
    <row r="279" spans="1:2" x14ac:dyDescent="0.3">
      <c r="A279" s="7">
        <v>45935</v>
      </c>
      <c r="B279">
        <v>98</v>
      </c>
    </row>
    <row r="280" spans="1:2" x14ac:dyDescent="0.3">
      <c r="A280" s="7">
        <v>45936</v>
      </c>
      <c r="B280">
        <v>101</v>
      </c>
    </row>
    <row r="281" spans="1:2" x14ac:dyDescent="0.3">
      <c r="A281" s="7">
        <v>45937</v>
      </c>
      <c r="B281">
        <v>30</v>
      </c>
    </row>
    <row r="282" spans="1:2" x14ac:dyDescent="0.3">
      <c r="A282" s="7">
        <v>45938</v>
      </c>
      <c r="B282">
        <v>53</v>
      </c>
    </row>
    <row r="283" spans="1:2" x14ac:dyDescent="0.3">
      <c r="A283" s="7">
        <v>45939</v>
      </c>
      <c r="B283">
        <v>89</v>
      </c>
    </row>
    <row r="284" spans="1:2" x14ac:dyDescent="0.3">
      <c r="A284" s="7">
        <v>45940</v>
      </c>
      <c r="B284">
        <v>105</v>
      </c>
    </row>
    <row r="285" spans="1:2" x14ac:dyDescent="0.3">
      <c r="A285" s="7">
        <v>45941</v>
      </c>
      <c r="B285">
        <v>107</v>
      </c>
    </row>
    <row r="286" spans="1:2" x14ac:dyDescent="0.3">
      <c r="A286" s="7">
        <v>45942</v>
      </c>
      <c r="B286">
        <v>119</v>
      </c>
    </row>
    <row r="287" spans="1:2" x14ac:dyDescent="0.3">
      <c r="A287" s="7">
        <v>45943</v>
      </c>
      <c r="B287">
        <v>113</v>
      </c>
    </row>
    <row r="288" spans="1:2" x14ac:dyDescent="0.3">
      <c r="A288" s="7">
        <v>45944</v>
      </c>
      <c r="B288">
        <v>34</v>
      </c>
    </row>
    <row r="289" spans="1:2" x14ac:dyDescent="0.3">
      <c r="A289" s="7">
        <v>45945</v>
      </c>
      <c r="B289">
        <v>66</v>
      </c>
    </row>
    <row r="290" spans="1:2" x14ac:dyDescent="0.3">
      <c r="A290" s="7">
        <v>45946</v>
      </c>
      <c r="B290">
        <v>109</v>
      </c>
    </row>
    <row r="291" spans="1:2" x14ac:dyDescent="0.3">
      <c r="A291" s="7">
        <v>45947</v>
      </c>
      <c r="B291">
        <v>92</v>
      </c>
    </row>
    <row r="292" spans="1:2" x14ac:dyDescent="0.3">
      <c r="A292" s="7">
        <v>45948</v>
      </c>
      <c r="B292">
        <v>95</v>
      </c>
    </row>
    <row r="293" spans="1:2" x14ac:dyDescent="0.3">
      <c r="A293" s="7">
        <v>45949</v>
      </c>
      <c r="B293">
        <v>83</v>
      </c>
    </row>
    <row r="294" spans="1:2" x14ac:dyDescent="0.3">
      <c r="A294" s="7">
        <v>45950</v>
      </c>
      <c r="B294">
        <v>79</v>
      </c>
    </row>
    <row r="295" spans="1:2" x14ac:dyDescent="0.3">
      <c r="A295" s="7">
        <v>45951</v>
      </c>
      <c r="B295">
        <v>38</v>
      </c>
    </row>
    <row r="296" spans="1:2" x14ac:dyDescent="0.3">
      <c r="A296" s="7">
        <v>45952</v>
      </c>
      <c r="B296">
        <v>36</v>
      </c>
    </row>
    <row r="297" spans="1:2" x14ac:dyDescent="0.3">
      <c r="A297" s="7">
        <v>45953</v>
      </c>
      <c r="B297">
        <v>76</v>
      </c>
    </row>
    <row r="298" spans="1:2" x14ac:dyDescent="0.3">
      <c r="A298" s="7">
        <v>45954</v>
      </c>
      <c r="B298">
        <v>76</v>
      </c>
    </row>
    <row r="299" spans="1:2" x14ac:dyDescent="0.3">
      <c r="A299" s="7">
        <v>45955</v>
      </c>
      <c r="B299">
        <v>83</v>
      </c>
    </row>
    <row r="300" spans="1:2" x14ac:dyDescent="0.3">
      <c r="A300" s="7">
        <v>45956</v>
      </c>
      <c r="B300">
        <v>127</v>
      </c>
    </row>
    <row r="301" spans="1:2" x14ac:dyDescent="0.3">
      <c r="A301" s="7">
        <v>45957</v>
      </c>
      <c r="B301">
        <v>62</v>
      </c>
    </row>
    <row r="302" spans="1:2" x14ac:dyDescent="0.3">
      <c r="A302" s="7">
        <v>45958</v>
      </c>
      <c r="B302">
        <v>42</v>
      </c>
    </row>
    <row r="303" spans="1:2" x14ac:dyDescent="0.3">
      <c r="A303" s="7">
        <v>45959</v>
      </c>
      <c r="B303">
        <v>42</v>
      </c>
    </row>
    <row r="304" spans="1:2" x14ac:dyDescent="0.3">
      <c r="A304" s="7">
        <v>45960</v>
      </c>
      <c r="B304">
        <v>125</v>
      </c>
    </row>
    <row r="305" spans="1:2" x14ac:dyDescent="0.3">
      <c r="A305" s="7">
        <v>45961</v>
      </c>
      <c r="B305">
        <v>102</v>
      </c>
    </row>
    <row r="306" spans="1:2" x14ac:dyDescent="0.3">
      <c r="A306" s="7">
        <v>45962</v>
      </c>
      <c r="B306">
        <v>74</v>
      </c>
    </row>
    <row r="307" spans="1:2" x14ac:dyDescent="0.3">
      <c r="A307" s="7">
        <v>45963</v>
      </c>
      <c r="B307">
        <v>90</v>
      </c>
    </row>
    <row r="308" spans="1:2" x14ac:dyDescent="0.3">
      <c r="A308" s="7">
        <v>45964</v>
      </c>
      <c r="B308">
        <v>76</v>
      </c>
    </row>
    <row r="309" spans="1:2" x14ac:dyDescent="0.3">
      <c r="A309" s="7">
        <v>45965</v>
      </c>
      <c r="B309">
        <v>45</v>
      </c>
    </row>
    <row r="310" spans="1:2" x14ac:dyDescent="0.3">
      <c r="A310" s="7">
        <v>45966</v>
      </c>
      <c r="B310">
        <v>60</v>
      </c>
    </row>
    <row r="311" spans="1:2" x14ac:dyDescent="0.3">
      <c r="A311" s="7">
        <v>45967</v>
      </c>
      <c r="B311">
        <v>64</v>
      </c>
    </row>
    <row r="312" spans="1:2" x14ac:dyDescent="0.3">
      <c r="A312" s="7">
        <v>45968</v>
      </c>
      <c r="B312">
        <v>84</v>
      </c>
    </row>
    <row r="313" spans="1:2" x14ac:dyDescent="0.3">
      <c r="A313" s="7">
        <v>45969</v>
      </c>
      <c r="B313">
        <v>83</v>
      </c>
    </row>
    <row r="314" spans="1:2" x14ac:dyDescent="0.3">
      <c r="A314" s="7">
        <v>45970</v>
      </c>
      <c r="B314">
        <v>98</v>
      </c>
    </row>
    <row r="315" spans="1:2" x14ac:dyDescent="0.3">
      <c r="A315" s="7">
        <v>45971</v>
      </c>
      <c r="B315">
        <v>76</v>
      </c>
    </row>
    <row r="316" spans="1:2" x14ac:dyDescent="0.3">
      <c r="A316" s="7">
        <v>45972</v>
      </c>
      <c r="B316">
        <v>46</v>
      </c>
    </row>
    <row r="317" spans="1:2" x14ac:dyDescent="0.3">
      <c r="A317" s="7">
        <v>45973</v>
      </c>
      <c r="B317">
        <v>49</v>
      </c>
    </row>
    <row r="318" spans="1:2" x14ac:dyDescent="0.3">
      <c r="A318" s="7">
        <v>45974</v>
      </c>
      <c r="B318">
        <v>51</v>
      </c>
    </row>
    <row r="319" spans="1:2" x14ac:dyDescent="0.3">
      <c r="A319" s="7">
        <v>45975</v>
      </c>
      <c r="B319">
        <v>64</v>
      </c>
    </row>
    <row r="320" spans="1:2" x14ac:dyDescent="0.3">
      <c r="A320" s="7">
        <v>45976</v>
      </c>
      <c r="B320">
        <v>89</v>
      </c>
    </row>
    <row r="321" spans="1:2" x14ac:dyDescent="0.3">
      <c r="A321" s="7">
        <v>45977</v>
      </c>
      <c r="B321">
        <v>79</v>
      </c>
    </row>
    <row r="322" spans="1:2" x14ac:dyDescent="0.3">
      <c r="A322" s="7">
        <v>45978</v>
      </c>
      <c r="B322">
        <v>93</v>
      </c>
    </row>
    <row r="323" spans="1:2" x14ac:dyDescent="0.3">
      <c r="A323" s="7">
        <v>45979</v>
      </c>
      <c r="B323">
        <v>83</v>
      </c>
    </row>
    <row r="324" spans="1:2" x14ac:dyDescent="0.3">
      <c r="A324" s="7">
        <v>45980</v>
      </c>
      <c r="B324">
        <v>25</v>
      </c>
    </row>
    <row r="325" spans="1:2" x14ac:dyDescent="0.3">
      <c r="A325" s="7">
        <v>45981</v>
      </c>
      <c r="B325">
        <v>48</v>
      </c>
    </row>
    <row r="326" spans="1:2" x14ac:dyDescent="0.3">
      <c r="A326" s="7">
        <v>45982</v>
      </c>
      <c r="B326">
        <v>68</v>
      </c>
    </row>
    <row r="327" spans="1:2" x14ac:dyDescent="0.3">
      <c r="A327" s="7">
        <v>45983</v>
      </c>
      <c r="B327">
        <v>65</v>
      </c>
    </row>
    <row r="328" spans="1:2" x14ac:dyDescent="0.3">
      <c r="A328" s="7">
        <v>45984</v>
      </c>
      <c r="B328">
        <v>39</v>
      </c>
    </row>
    <row r="329" spans="1:2" x14ac:dyDescent="0.3">
      <c r="A329" s="7">
        <v>45985</v>
      </c>
      <c r="B329">
        <v>63</v>
      </c>
    </row>
    <row r="330" spans="1:2" x14ac:dyDescent="0.3">
      <c r="A330" s="7">
        <v>45986</v>
      </c>
      <c r="B330">
        <v>30</v>
      </c>
    </row>
    <row r="331" spans="1:2" x14ac:dyDescent="0.3">
      <c r="A331" s="7">
        <v>45987</v>
      </c>
      <c r="B331">
        <v>45</v>
      </c>
    </row>
    <row r="332" spans="1:2" x14ac:dyDescent="0.3">
      <c r="A332" s="7">
        <v>45988</v>
      </c>
      <c r="B332">
        <v>46</v>
      </c>
    </row>
    <row r="333" spans="1:2" x14ac:dyDescent="0.3">
      <c r="A333" s="7">
        <v>45989</v>
      </c>
      <c r="B333">
        <v>78</v>
      </c>
    </row>
    <row r="334" spans="1:2" x14ac:dyDescent="0.3">
      <c r="A334" s="7">
        <v>45990</v>
      </c>
      <c r="B334">
        <v>70</v>
      </c>
    </row>
    <row r="335" spans="1:2" x14ac:dyDescent="0.3">
      <c r="A335" s="7">
        <v>45991</v>
      </c>
      <c r="B335">
        <v>82</v>
      </c>
    </row>
    <row r="336" spans="1:2" x14ac:dyDescent="0.3">
      <c r="A336" s="7">
        <v>45992</v>
      </c>
      <c r="B336">
        <v>90</v>
      </c>
    </row>
    <row r="337" spans="1:2" x14ac:dyDescent="0.3">
      <c r="A337" s="7">
        <v>45993</v>
      </c>
      <c r="B337">
        <v>45</v>
      </c>
    </row>
    <row r="338" spans="1:2" x14ac:dyDescent="0.3">
      <c r="A338" s="7">
        <v>45994</v>
      </c>
      <c r="B338">
        <v>34</v>
      </c>
    </row>
    <row r="339" spans="1:2" x14ac:dyDescent="0.3">
      <c r="A339" s="7">
        <v>45995</v>
      </c>
      <c r="B339">
        <v>57</v>
      </c>
    </row>
    <row r="340" spans="1:2" x14ac:dyDescent="0.3">
      <c r="A340" s="7">
        <v>45996</v>
      </c>
      <c r="B340">
        <v>82</v>
      </c>
    </row>
    <row r="341" spans="1:2" x14ac:dyDescent="0.3">
      <c r="A341" s="7">
        <v>45997</v>
      </c>
      <c r="B341">
        <v>80</v>
      </c>
    </row>
    <row r="342" spans="1:2" x14ac:dyDescent="0.3">
      <c r="A342" s="7">
        <v>45998</v>
      </c>
      <c r="B342">
        <v>88</v>
      </c>
    </row>
    <row r="343" spans="1:2" x14ac:dyDescent="0.3">
      <c r="A343" s="7">
        <v>45999</v>
      </c>
      <c r="B343">
        <v>69</v>
      </c>
    </row>
    <row r="344" spans="1:2" x14ac:dyDescent="0.3">
      <c r="A344" s="7">
        <v>46000</v>
      </c>
      <c r="B344">
        <v>42</v>
      </c>
    </row>
    <row r="345" spans="1:2" x14ac:dyDescent="0.3">
      <c r="A345" s="7">
        <v>46001</v>
      </c>
      <c r="B345">
        <v>70</v>
      </c>
    </row>
    <row r="346" spans="1:2" x14ac:dyDescent="0.3">
      <c r="A346" s="7">
        <v>46002</v>
      </c>
      <c r="B346">
        <v>61</v>
      </c>
    </row>
    <row r="347" spans="1:2" x14ac:dyDescent="0.3">
      <c r="A347" s="7">
        <v>46003</v>
      </c>
      <c r="B347">
        <v>107</v>
      </c>
    </row>
    <row r="348" spans="1:2" x14ac:dyDescent="0.3">
      <c r="A348" s="7">
        <v>46004</v>
      </c>
      <c r="B348">
        <v>144</v>
      </c>
    </row>
    <row r="349" spans="1:2" x14ac:dyDescent="0.3">
      <c r="A349" s="7">
        <v>46005</v>
      </c>
      <c r="B349">
        <v>87</v>
      </c>
    </row>
    <row r="350" spans="1:2" x14ac:dyDescent="0.3">
      <c r="A350" s="7">
        <v>46006</v>
      </c>
      <c r="B350">
        <v>108</v>
      </c>
    </row>
    <row r="351" spans="1:2" x14ac:dyDescent="0.3">
      <c r="A351" s="7">
        <v>46007</v>
      </c>
      <c r="B351">
        <v>51</v>
      </c>
    </row>
    <row r="352" spans="1:2" x14ac:dyDescent="0.3">
      <c r="A352" s="7">
        <v>46008</v>
      </c>
      <c r="B352">
        <v>37</v>
      </c>
    </row>
    <row r="353" spans="1:5" x14ac:dyDescent="0.3">
      <c r="A353" s="7">
        <v>46009</v>
      </c>
      <c r="B353">
        <v>70</v>
      </c>
    </row>
    <row r="354" spans="1:5" x14ac:dyDescent="0.3">
      <c r="A354" s="7">
        <v>46010</v>
      </c>
      <c r="B354">
        <v>65</v>
      </c>
    </row>
    <row r="355" spans="1:5" x14ac:dyDescent="0.3">
      <c r="A355" s="7">
        <v>46011</v>
      </c>
      <c r="B355">
        <v>85</v>
      </c>
    </row>
    <row r="356" spans="1:5" x14ac:dyDescent="0.3">
      <c r="A356" s="7">
        <v>46012</v>
      </c>
      <c r="B356">
        <v>69</v>
      </c>
    </row>
    <row r="357" spans="1:5" x14ac:dyDescent="0.3">
      <c r="A357" s="7">
        <v>46013</v>
      </c>
      <c r="B357">
        <v>66</v>
      </c>
    </row>
    <row r="358" spans="1:5" x14ac:dyDescent="0.3">
      <c r="A358" s="7">
        <v>46014</v>
      </c>
      <c r="B358">
        <v>41</v>
      </c>
    </row>
    <row r="359" spans="1:5" x14ac:dyDescent="0.3">
      <c r="A359" s="7">
        <v>46015</v>
      </c>
      <c r="B359">
        <v>40</v>
      </c>
    </row>
    <row r="360" spans="1:5" x14ac:dyDescent="0.3">
      <c r="A360" s="7">
        <v>46016</v>
      </c>
      <c r="B360">
        <v>40</v>
      </c>
    </row>
    <row r="361" spans="1:5" x14ac:dyDescent="0.3">
      <c r="A361" s="7">
        <v>46017</v>
      </c>
      <c r="B361">
        <v>45</v>
      </c>
    </row>
    <row r="362" spans="1:5" x14ac:dyDescent="0.3">
      <c r="A362" s="7">
        <v>46018</v>
      </c>
      <c r="B362">
        <v>77</v>
      </c>
    </row>
    <row r="363" spans="1:5" x14ac:dyDescent="0.3">
      <c r="A363" s="7">
        <v>46019</v>
      </c>
      <c r="B363">
        <v>57</v>
      </c>
    </row>
    <row r="364" spans="1:5" x14ac:dyDescent="0.3">
      <c r="A364" s="7">
        <v>46020</v>
      </c>
      <c r="B364">
        <v>70</v>
      </c>
    </row>
    <row r="365" spans="1:5" x14ac:dyDescent="0.3">
      <c r="A365" s="7">
        <v>46021</v>
      </c>
      <c r="B365">
        <v>42</v>
      </c>
    </row>
    <row r="366" spans="1:5" x14ac:dyDescent="0.3">
      <c r="A366" s="7">
        <v>46022</v>
      </c>
      <c r="B366">
        <v>30</v>
      </c>
      <c r="C366">
        <v>30</v>
      </c>
      <c r="D366" s="8">
        <v>30</v>
      </c>
      <c r="E366" s="8">
        <v>30</v>
      </c>
    </row>
    <row r="367" spans="1:5" x14ac:dyDescent="0.3">
      <c r="A367" s="7">
        <v>46023</v>
      </c>
      <c r="C367">
        <f t="shared" ref="C367:C398" si="0">_xlfn.FORECAST.ETS(A367,$B$2:$B$366,$A$2:$A$366,1,1)</f>
        <v>44.490739333500457</v>
      </c>
      <c r="D367" s="8">
        <f t="shared" ref="D367:D398" si="1">C367-_xlfn.FORECAST.ETS.CONFINT(A367,$B$2:$B$366,$A$2:$A$366,0.95,1,1)</f>
        <v>-2.1006233086081778</v>
      </c>
      <c r="E367" s="8">
        <f t="shared" ref="E367:E398" si="2">C367+_xlfn.FORECAST.ETS.CONFINT(A367,$B$2:$B$366,$A$2:$A$366,0.95,1,1)</f>
        <v>91.082101975609092</v>
      </c>
    </row>
    <row r="368" spans="1:5" x14ac:dyDescent="0.3">
      <c r="A368" s="7">
        <v>46024</v>
      </c>
      <c r="C368">
        <f t="shared" si="0"/>
        <v>60.561481890528384</v>
      </c>
      <c r="D368" s="8">
        <f t="shared" si="1"/>
        <v>12.513519363542436</v>
      </c>
      <c r="E368" s="8">
        <f t="shared" si="2"/>
        <v>108.60944441751434</v>
      </c>
    </row>
    <row r="369" spans="1:5" x14ac:dyDescent="0.3">
      <c r="A369" s="7">
        <v>46025</v>
      </c>
      <c r="C369">
        <f t="shared" si="0"/>
        <v>79.425063879258175</v>
      </c>
      <c r="D369" s="8">
        <f t="shared" si="1"/>
        <v>29.952297992837352</v>
      </c>
      <c r="E369" s="8">
        <f t="shared" si="2"/>
        <v>128.89782976567901</v>
      </c>
    </row>
    <row r="370" spans="1:5" x14ac:dyDescent="0.3">
      <c r="A370" s="7">
        <v>46026</v>
      </c>
      <c r="C370">
        <f t="shared" si="0"/>
        <v>63.135902609367555</v>
      </c>
      <c r="D370" s="8">
        <f t="shared" si="1"/>
        <v>12.267415323696312</v>
      </c>
      <c r="E370" s="8">
        <f t="shared" si="2"/>
        <v>114.0043898950388</v>
      </c>
    </row>
    <row r="371" spans="1:5" x14ac:dyDescent="0.3">
      <c r="A371" s="7">
        <v>46027</v>
      </c>
      <c r="C371">
        <f t="shared" si="0"/>
        <v>68.609720435612303</v>
      </c>
      <c r="D371" s="8">
        <f t="shared" si="1"/>
        <v>16.372220999436486</v>
      </c>
      <c r="E371" s="8">
        <f t="shared" si="2"/>
        <v>120.84721987178813</v>
      </c>
    </row>
    <row r="372" spans="1:5" x14ac:dyDescent="0.3">
      <c r="A372" s="7">
        <v>46028</v>
      </c>
      <c r="C372">
        <f t="shared" si="0"/>
        <v>34.607091016174465</v>
      </c>
      <c r="D372" s="8">
        <f t="shared" si="1"/>
        <v>-18.974799131511318</v>
      </c>
      <c r="E372" s="8">
        <f t="shared" si="2"/>
        <v>88.188981163860248</v>
      </c>
    </row>
    <row r="373" spans="1:5" x14ac:dyDescent="0.3">
      <c r="A373" s="7">
        <v>46029</v>
      </c>
      <c r="C373">
        <f t="shared" si="0"/>
        <v>29.526809189014482</v>
      </c>
      <c r="D373" s="8">
        <f t="shared" si="1"/>
        <v>-25.376698473112494</v>
      </c>
      <c r="E373" s="8">
        <f t="shared" si="2"/>
        <v>84.430316851141455</v>
      </c>
    </row>
    <row r="374" spans="1:5" x14ac:dyDescent="0.3">
      <c r="A374" s="7">
        <v>46030</v>
      </c>
      <c r="C374">
        <f t="shared" si="0"/>
        <v>44.017548522514943</v>
      </c>
      <c r="D374" s="8">
        <f t="shared" si="1"/>
        <v>-15.770317225685204</v>
      </c>
      <c r="E374" s="8">
        <f t="shared" si="2"/>
        <v>103.80541427071509</v>
      </c>
    </row>
    <row r="375" spans="1:5" x14ac:dyDescent="0.3">
      <c r="A375" s="7">
        <v>46031</v>
      </c>
      <c r="C375">
        <f t="shared" si="0"/>
        <v>60.088291079542856</v>
      </c>
      <c r="D375" s="8">
        <f t="shared" si="1"/>
        <v>-0.90519473465334954</v>
      </c>
      <c r="E375" s="8">
        <f t="shared" si="2"/>
        <v>121.08177689373906</v>
      </c>
    </row>
    <row r="376" spans="1:5" x14ac:dyDescent="0.3">
      <c r="A376" s="7">
        <v>46032</v>
      </c>
      <c r="C376">
        <f t="shared" si="0"/>
        <v>78.951873068272647</v>
      </c>
      <c r="D376" s="8">
        <f t="shared" si="1"/>
        <v>16.76708107946633</v>
      </c>
      <c r="E376" s="8">
        <f t="shared" si="2"/>
        <v>141.13666505707897</v>
      </c>
    </row>
    <row r="377" spans="1:5" x14ac:dyDescent="0.3">
      <c r="A377" s="7">
        <v>46033</v>
      </c>
      <c r="C377">
        <f t="shared" si="0"/>
        <v>62.662711798382027</v>
      </c>
      <c r="D377" s="8">
        <f t="shared" si="1"/>
        <v>-0.69991410213302174</v>
      </c>
      <c r="E377" s="8">
        <f t="shared" si="2"/>
        <v>126.02533769889708</v>
      </c>
    </row>
    <row r="378" spans="1:5" x14ac:dyDescent="0.3">
      <c r="A378" s="7">
        <v>46034</v>
      </c>
      <c r="C378">
        <f t="shared" si="0"/>
        <v>68.136529624626775</v>
      </c>
      <c r="D378" s="8">
        <f t="shared" si="1"/>
        <v>3.6087706969433242</v>
      </c>
      <c r="E378" s="8">
        <f t="shared" si="2"/>
        <v>132.66428855231021</v>
      </c>
    </row>
    <row r="379" spans="1:5" x14ac:dyDescent="0.3">
      <c r="A379" s="7">
        <v>46035</v>
      </c>
      <c r="C379">
        <f t="shared" si="0"/>
        <v>34.133900205188944</v>
      </c>
      <c r="D379" s="8">
        <f t="shared" si="1"/>
        <v>-31.546999833278015</v>
      </c>
      <c r="E379" s="8">
        <f t="shared" si="2"/>
        <v>99.814800243655895</v>
      </c>
    </row>
    <row r="380" spans="1:5" x14ac:dyDescent="0.3">
      <c r="A380" s="7">
        <v>46036</v>
      </c>
      <c r="C380">
        <f t="shared" si="0"/>
        <v>29.053618378028954</v>
      </c>
      <c r="D380" s="8">
        <f t="shared" si="1"/>
        <v>-37.769084166991888</v>
      </c>
      <c r="E380" s="8">
        <f t="shared" si="2"/>
        <v>95.876320923049803</v>
      </c>
    </row>
    <row r="381" spans="1:5" x14ac:dyDescent="0.3">
      <c r="A381" s="7">
        <v>46037</v>
      </c>
      <c r="C381">
        <f t="shared" si="0"/>
        <v>43.544357711529415</v>
      </c>
      <c r="D381" s="8">
        <f t="shared" si="1"/>
        <v>-27.455727426564422</v>
      </c>
      <c r="E381" s="8">
        <f t="shared" si="2"/>
        <v>114.54444284962325</v>
      </c>
    </row>
    <row r="382" spans="1:5" x14ac:dyDescent="0.3">
      <c r="A382" s="7">
        <v>46038</v>
      </c>
      <c r="C382">
        <f t="shared" si="0"/>
        <v>59.615100268557327</v>
      </c>
      <c r="D382" s="8">
        <f t="shared" si="1"/>
        <v>-12.458515122590086</v>
      </c>
      <c r="E382" s="8">
        <f t="shared" si="2"/>
        <v>131.68871565970474</v>
      </c>
    </row>
    <row r="383" spans="1:5" x14ac:dyDescent="0.3">
      <c r="A383" s="7">
        <v>46039</v>
      </c>
      <c r="C383">
        <f t="shared" si="0"/>
        <v>78.478682257287119</v>
      </c>
      <c r="D383" s="8">
        <f t="shared" si="1"/>
        <v>5.339383696668321</v>
      </c>
      <c r="E383" s="8">
        <f t="shared" si="2"/>
        <v>151.6179808179059</v>
      </c>
    </row>
    <row r="384" spans="1:5" x14ac:dyDescent="0.3">
      <c r="A384" s="7">
        <v>46040</v>
      </c>
      <c r="C384">
        <f t="shared" si="0"/>
        <v>62.189520987396506</v>
      </c>
      <c r="D384" s="8">
        <f t="shared" si="1"/>
        <v>-12.007981034515282</v>
      </c>
      <c r="E384" s="8">
        <f t="shared" si="2"/>
        <v>136.38702300930828</v>
      </c>
    </row>
    <row r="385" spans="1:5" x14ac:dyDescent="0.3">
      <c r="A385" s="7">
        <v>46041</v>
      </c>
      <c r="C385">
        <f t="shared" si="0"/>
        <v>67.663338813641246</v>
      </c>
      <c r="D385" s="8">
        <f t="shared" si="1"/>
        <v>-7.585231366249829</v>
      </c>
      <c r="E385" s="8">
        <f t="shared" si="2"/>
        <v>142.91190899353234</v>
      </c>
    </row>
    <row r="386" spans="1:5" x14ac:dyDescent="0.3">
      <c r="A386" s="7">
        <v>46042</v>
      </c>
      <c r="C386">
        <f t="shared" si="0"/>
        <v>33.660709394203423</v>
      </c>
      <c r="D386" s="8">
        <f t="shared" si="1"/>
        <v>-42.632116998116373</v>
      </c>
      <c r="E386" s="8">
        <f t="shared" si="2"/>
        <v>109.95353578652322</v>
      </c>
    </row>
    <row r="387" spans="1:5" x14ac:dyDescent="0.3">
      <c r="A387" s="7">
        <v>46043</v>
      </c>
      <c r="C387">
        <f t="shared" si="0"/>
        <v>28.580427567043433</v>
      </c>
      <c r="D387" s="8">
        <f t="shared" si="1"/>
        <v>-48.750147125206936</v>
      </c>
      <c r="E387" s="8">
        <f t="shared" si="2"/>
        <v>105.9110022592938</v>
      </c>
    </row>
    <row r="388" spans="1:5" x14ac:dyDescent="0.3">
      <c r="A388" s="7">
        <v>46044</v>
      </c>
      <c r="C388">
        <f t="shared" si="0"/>
        <v>43.071166900543886</v>
      </c>
      <c r="D388" s="8">
        <f t="shared" si="1"/>
        <v>-37.993707166488107</v>
      </c>
      <c r="E388" s="8">
        <f t="shared" si="2"/>
        <v>124.13604096757588</v>
      </c>
    </row>
    <row r="389" spans="1:5" x14ac:dyDescent="0.3">
      <c r="A389" s="7">
        <v>46045</v>
      </c>
      <c r="C389">
        <f t="shared" si="0"/>
        <v>59.141909457571813</v>
      </c>
      <c r="D389" s="8">
        <f t="shared" si="1"/>
        <v>-22.914766153423287</v>
      </c>
      <c r="E389" s="8">
        <f t="shared" si="2"/>
        <v>141.1985850685669</v>
      </c>
    </row>
    <row r="390" spans="1:5" x14ac:dyDescent="0.3">
      <c r="A390" s="7">
        <v>46046</v>
      </c>
      <c r="C390">
        <f t="shared" si="0"/>
        <v>78.005491446301605</v>
      </c>
      <c r="D390" s="8">
        <f t="shared" si="1"/>
        <v>-5.0382898993070029</v>
      </c>
      <c r="E390" s="8">
        <f t="shared" si="2"/>
        <v>161.0492727919102</v>
      </c>
    </row>
    <row r="391" spans="1:5" x14ac:dyDescent="0.3">
      <c r="A391" s="7">
        <v>46047</v>
      </c>
      <c r="C391">
        <f t="shared" si="0"/>
        <v>61.716330176410985</v>
      </c>
      <c r="D391" s="8">
        <f t="shared" si="1"/>
        <v>-22.310052421921888</v>
      </c>
      <c r="E391" s="8">
        <f t="shared" si="2"/>
        <v>145.74271277474386</v>
      </c>
    </row>
    <row r="392" spans="1:5" x14ac:dyDescent="0.3">
      <c r="A392" s="7">
        <v>46048</v>
      </c>
      <c r="C392">
        <f t="shared" si="0"/>
        <v>67.190148002655718</v>
      </c>
      <c r="D392" s="8">
        <f t="shared" si="1"/>
        <v>-17.814513110666326</v>
      </c>
      <c r="E392" s="8">
        <f t="shared" si="2"/>
        <v>152.19480911597776</v>
      </c>
    </row>
    <row r="393" spans="1:5" x14ac:dyDescent="0.3">
      <c r="A393" s="7">
        <v>46049</v>
      </c>
      <c r="C393">
        <f t="shared" si="0"/>
        <v>33.187518583217894</v>
      </c>
      <c r="D393" s="8">
        <f t="shared" si="1"/>
        <v>-52.791271109213312</v>
      </c>
      <c r="E393" s="8">
        <f t="shared" si="2"/>
        <v>119.1663082756491</v>
      </c>
    </row>
    <row r="394" spans="1:5" x14ac:dyDescent="0.3">
      <c r="A394" s="7">
        <v>46050</v>
      </c>
      <c r="C394">
        <f t="shared" si="0"/>
        <v>28.107236756057912</v>
      </c>
      <c r="D394" s="8">
        <f t="shared" si="1"/>
        <v>-58.841696026497473</v>
      </c>
      <c r="E394" s="8">
        <f t="shared" si="2"/>
        <v>115.0561695386133</v>
      </c>
    </row>
    <row r="395" spans="1:5" x14ac:dyDescent="0.3">
      <c r="A395" s="7">
        <v>46051</v>
      </c>
      <c r="C395">
        <f t="shared" si="0"/>
        <v>42.597976089558372</v>
      </c>
      <c r="D395" s="8">
        <f t="shared" si="1"/>
        <v>-47.776706108313434</v>
      </c>
      <c r="E395" s="8">
        <f t="shared" si="2"/>
        <v>132.97265828743019</v>
      </c>
    </row>
    <row r="396" spans="1:5" x14ac:dyDescent="0.3">
      <c r="A396" s="7">
        <v>46052</v>
      </c>
      <c r="C396">
        <f t="shared" si="0"/>
        <v>58.668718646586285</v>
      </c>
      <c r="D396" s="8">
        <f t="shared" si="1"/>
        <v>-32.642673742740726</v>
      </c>
      <c r="E396" s="8">
        <f t="shared" si="2"/>
        <v>149.9801110359133</v>
      </c>
    </row>
    <row r="397" spans="1:5" x14ac:dyDescent="0.3">
      <c r="A397" s="7">
        <v>46053</v>
      </c>
      <c r="C397">
        <f t="shared" si="0"/>
        <v>77.532300635316076</v>
      </c>
      <c r="D397" s="8">
        <f t="shared" si="1"/>
        <v>-14.71289095419084</v>
      </c>
      <c r="E397" s="8">
        <f t="shared" si="2"/>
        <v>169.77749222482299</v>
      </c>
    </row>
    <row r="398" spans="1:5" x14ac:dyDescent="0.3">
      <c r="A398" s="7">
        <v>46054</v>
      </c>
      <c r="C398">
        <f t="shared" si="0"/>
        <v>61.243139365425456</v>
      </c>
      <c r="D398" s="8">
        <f t="shared" si="1"/>
        <v>-31.933051251051445</v>
      </c>
      <c r="E398" s="8">
        <f t="shared" si="2"/>
        <v>154.41932998190237</v>
      </c>
    </row>
    <row r="399" spans="1:5" x14ac:dyDescent="0.3">
      <c r="A399" s="7">
        <v>46055</v>
      </c>
      <c r="C399">
        <f t="shared" ref="C399:C430" si="3">_xlfn.FORECAST.ETS(A399,$B$2:$B$366,$A$2:$A$366,1,1)</f>
        <v>66.716957191670204</v>
      </c>
      <c r="D399" s="8">
        <f t="shared" ref="D399:D430" si="4">C399-_xlfn.FORECAST.ETS.CONFINT(A399,$B$2:$B$366,$A$2:$A$366,0.95,1,1)</f>
        <v>-27.387538454538941</v>
      </c>
      <c r="E399" s="8">
        <f t="shared" ref="E399:E430" si="5">C399+_xlfn.FORECAST.ETS.CONFINT(A399,$B$2:$B$366,$A$2:$A$366,0.95,1,1)</f>
        <v>160.82145283787935</v>
      </c>
    </row>
    <row r="400" spans="1:5" x14ac:dyDescent="0.3">
      <c r="A400" s="7">
        <v>46056</v>
      </c>
      <c r="C400">
        <f t="shared" si="3"/>
        <v>32.714327772232373</v>
      </c>
      <c r="D400" s="8">
        <f t="shared" si="4"/>
        <v>-62.315880698459019</v>
      </c>
      <c r="E400" s="8">
        <f t="shared" si="5"/>
        <v>127.74453624292377</v>
      </c>
    </row>
    <row r="401" spans="1:5" x14ac:dyDescent="0.3">
      <c r="A401" s="7">
        <v>46057</v>
      </c>
      <c r="C401">
        <f t="shared" si="3"/>
        <v>27.634045945072383</v>
      </c>
      <c r="D401" s="8">
        <f t="shared" si="4"/>
        <v>-68.319380792982059</v>
      </c>
      <c r="E401" s="8">
        <f t="shared" si="5"/>
        <v>123.58747268312683</v>
      </c>
    </row>
    <row r="402" spans="1:5" x14ac:dyDescent="0.3">
      <c r="A402" s="7">
        <v>46058</v>
      </c>
      <c r="C402">
        <f t="shared" si="3"/>
        <v>42.124785278572844</v>
      </c>
      <c r="D402" s="8">
        <f t="shared" si="4"/>
        <v>-57.025148418753744</v>
      </c>
      <c r="E402" s="8">
        <f t="shared" si="5"/>
        <v>141.27471897589942</v>
      </c>
    </row>
    <row r="403" spans="1:5" x14ac:dyDescent="0.3">
      <c r="A403" s="7">
        <v>46059</v>
      </c>
      <c r="C403">
        <f t="shared" si="3"/>
        <v>58.195527835600757</v>
      </c>
      <c r="D403" s="8">
        <f t="shared" si="4"/>
        <v>-41.852022243247845</v>
      </c>
      <c r="E403" s="8">
        <f t="shared" si="5"/>
        <v>158.24307791444937</v>
      </c>
    </row>
    <row r="404" spans="1:5" x14ac:dyDescent="0.3">
      <c r="A404" s="7">
        <v>46060</v>
      </c>
      <c r="C404">
        <f t="shared" si="3"/>
        <v>77.059109824330548</v>
      </c>
      <c r="D404" s="8">
        <f t="shared" si="4"/>
        <v>-23.884257394828822</v>
      </c>
      <c r="E404" s="8">
        <f t="shared" si="5"/>
        <v>178.00247704348993</v>
      </c>
    </row>
    <row r="405" spans="1:5" x14ac:dyDescent="0.3">
      <c r="A405" s="7">
        <v>46061</v>
      </c>
      <c r="C405">
        <f t="shared" si="3"/>
        <v>60.769948554439935</v>
      </c>
      <c r="D405" s="8">
        <f t="shared" si="4"/>
        <v>-41.067505361010234</v>
      </c>
      <c r="E405" s="8">
        <f t="shared" si="5"/>
        <v>162.6074024698901</v>
      </c>
    </row>
    <row r="406" spans="1:5" x14ac:dyDescent="0.3">
      <c r="A406" s="7">
        <v>46062</v>
      </c>
      <c r="C406">
        <f t="shared" si="3"/>
        <v>66.243766380684676</v>
      </c>
      <c r="D406" s="8">
        <f t="shared" si="4"/>
        <v>-36.486110099373434</v>
      </c>
      <c r="E406" s="8">
        <f t="shared" si="5"/>
        <v>168.97364286074279</v>
      </c>
    </row>
    <row r="407" spans="1:5" x14ac:dyDescent="0.3">
      <c r="A407" s="7">
        <v>46063</v>
      </c>
      <c r="C407">
        <f t="shared" si="3"/>
        <v>32.241136961246852</v>
      </c>
      <c r="D407" s="8">
        <f t="shared" si="4"/>
        <v>-71.379561897291424</v>
      </c>
      <c r="E407" s="8">
        <f t="shared" si="5"/>
        <v>135.86183581978514</v>
      </c>
    </row>
    <row r="408" spans="1:5" x14ac:dyDescent="0.3">
      <c r="A408" s="7">
        <v>46064</v>
      </c>
      <c r="C408">
        <f t="shared" si="3"/>
        <v>27.160855134086862</v>
      </c>
      <c r="D408" s="8">
        <f t="shared" si="4"/>
        <v>-77.349127606621821</v>
      </c>
      <c r="E408" s="8">
        <f t="shared" si="5"/>
        <v>131.67083787479555</v>
      </c>
    </row>
    <row r="409" spans="1:5" x14ac:dyDescent="0.3">
      <c r="A409" s="7">
        <v>46065</v>
      </c>
      <c r="C409">
        <f t="shared" si="3"/>
        <v>41.651594467587316</v>
      </c>
      <c r="D409" s="8">
        <f t="shared" si="4"/>
        <v>-65.876920145688757</v>
      </c>
      <c r="E409" s="8">
        <f t="shared" si="5"/>
        <v>149.18010908086339</v>
      </c>
    </row>
    <row r="410" spans="1:5" x14ac:dyDescent="0.3">
      <c r="A410" s="7">
        <v>46066</v>
      </c>
      <c r="C410">
        <f t="shared" si="3"/>
        <v>57.722337024615243</v>
      </c>
      <c r="D410" s="8">
        <f t="shared" si="4"/>
        <v>-50.675139147176949</v>
      </c>
      <c r="E410" s="8">
        <f t="shared" si="5"/>
        <v>166.11981319640745</v>
      </c>
    </row>
    <row r="411" spans="1:5" x14ac:dyDescent="0.3">
      <c r="A411" s="7">
        <v>46067</v>
      </c>
      <c r="C411">
        <f t="shared" si="3"/>
        <v>76.585919013345034</v>
      </c>
      <c r="D411" s="8">
        <f t="shared" si="4"/>
        <v>-32.679458854618687</v>
      </c>
      <c r="E411" s="8">
        <f t="shared" si="5"/>
        <v>185.85129688130877</v>
      </c>
    </row>
    <row r="412" spans="1:5" x14ac:dyDescent="0.3">
      <c r="A412" s="7">
        <v>46068</v>
      </c>
      <c r="C412">
        <f t="shared" si="3"/>
        <v>60.296757743454414</v>
      </c>
      <c r="D412" s="8">
        <f t="shared" si="4"/>
        <v>-49.835506725644684</v>
      </c>
      <c r="E412" s="8">
        <f t="shared" si="5"/>
        <v>170.42902221255352</v>
      </c>
    </row>
    <row r="413" spans="1:5" x14ac:dyDescent="0.3">
      <c r="A413" s="7">
        <v>46069</v>
      </c>
      <c r="C413">
        <f t="shared" si="3"/>
        <v>65.770575569699162</v>
      </c>
      <c r="D413" s="8">
        <f t="shared" si="4"/>
        <v>-45.227603745605293</v>
      </c>
      <c r="E413" s="8">
        <f t="shared" si="5"/>
        <v>176.7687548850036</v>
      </c>
    </row>
    <row r="414" spans="1:5" x14ac:dyDescent="0.3">
      <c r="A414" s="7">
        <v>46070</v>
      </c>
      <c r="C414">
        <f t="shared" si="3"/>
        <v>31.767946150261324</v>
      </c>
      <c r="D414" s="8">
        <f t="shared" si="4"/>
        <v>-80.095218228374577</v>
      </c>
      <c r="E414" s="8">
        <f t="shared" si="5"/>
        <v>143.63111052889724</v>
      </c>
    </row>
    <row r="415" spans="1:5" x14ac:dyDescent="0.3">
      <c r="A415" s="7">
        <v>46071</v>
      </c>
      <c r="C415">
        <f t="shared" si="3"/>
        <v>26.687664323101341</v>
      </c>
      <c r="D415" s="8">
        <f t="shared" si="4"/>
        <v>-86.039595996084287</v>
      </c>
      <c r="E415" s="8">
        <f t="shared" si="5"/>
        <v>139.41492464228696</v>
      </c>
    </row>
    <row r="416" spans="1:5" x14ac:dyDescent="0.3">
      <c r="A416" s="7">
        <v>46072</v>
      </c>
      <c r="C416">
        <f t="shared" si="3"/>
        <v>41.178403656601802</v>
      </c>
      <c r="D416" s="8">
        <f t="shared" si="4"/>
        <v>-74.424747808252761</v>
      </c>
      <c r="E416" s="8">
        <f t="shared" si="5"/>
        <v>156.78155512145636</v>
      </c>
    </row>
    <row r="417" spans="1:5" x14ac:dyDescent="0.3">
      <c r="A417" s="7">
        <v>46073</v>
      </c>
      <c r="C417">
        <f t="shared" si="3"/>
        <v>57.249146213629714</v>
      </c>
      <c r="D417" s="8">
        <f t="shared" si="4"/>
        <v>-59.20153523118303</v>
      </c>
      <c r="E417" s="8">
        <f t="shared" si="5"/>
        <v>173.69982765844247</v>
      </c>
    </row>
    <row r="418" spans="1:5" x14ac:dyDescent="0.3">
      <c r="A418" s="7">
        <v>46074</v>
      </c>
      <c r="C418">
        <f t="shared" si="3"/>
        <v>76.112728202359506</v>
      </c>
      <c r="D418" s="8">
        <f t="shared" si="4"/>
        <v>-41.184939100214436</v>
      </c>
      <c r="E418" s="8">
        <f t="shared" si="5"/>
        <v>193.41039550493343</v>
      </c>
    </row>
    <row r="419" spans="1:5" x14ac:dyDescent="0.3">
      <c r="A419" s="7">
        <v>46075</v>
      </c>
      <c r="C419">
        <f t="shared" si="3"/>
        <v>59.823566932468886</v>
      </c>
      <c r="D419" s="8">
        <f t="shared" si="4"/>
        <v>-58.320572182040173</v>
      </c>
      <c r="E419" s="8">
        <f t="shared" si="5"/>
        <v>177.96770604697795</v>
      </c>
    </row>
    <row r="420" spans="1:5" x14ac:dyDescent="0.3">
      <c r="A420" s="7">
        <v>46076</v>
      </c>
      <c r="C420">
        <f t="shared" si="3"/>
        <v>65.297384758713633</v>
      </c>
      <c r="D420" s="8">
        <f t="shared" si="4"/>
        <v>-53.692741335516715</v>
      </c>
      <c r="E420" s="8">
        <f t="shared" si="5"/>
        <v>184.28751085294397</v>
      </c>
    </row>
    <row r="421" spans="1:5" x14ac:dyDescent="0.3">
      <c r="A421" s="7">
        <v>46077</v>
      </c>
      <c r="C421">
        <f t="shared" si="3"/>
        <v>31.294755339275802</v>
      </c>
      <c r="D421" s="8">
        <f t="shared" si="4"/>
        <v>-88.540901285005134</v>
      </c>
      <c r="E421" s="8">
        <f t="shared" si="5"/>
        <v>151.13041196355675</v>
      </c>
    </row>
    <row r="422" spans="1:5" x14ac:dyDescent="0.3">
      <c r="A422" s="7">
        <v>46078</v>
      </c>
      <c r="C422">
        <f t="shared" si="3"/>
        <v>26.214473512115813</v>
      </c>
      <c r="D422" s="8">
        <f t="shared" si="4"/>
        <v>-94.466284774256451</v>
      </c>
      <c r="E422" s="8">
        <f t="shared" si="5"/>
        <v>146.89523179848808</v>
      </c>
    </row>
    <row r="423" spans="1:5" x14ac:dyDescent="0.3">
      <c r="A423" s="7">
        <v>46079</v>
      </c>
      <c r="C423">
        <f t="shared" si="3"/>
        <v>40.705212845616273</v>
      </c>
      <c r="D423" s="8">
        <f t="shared" si="4"/>
        <v>-82.734327056191418</v>
      </c>
      <c r="E423" s="8">
        <f t="shared" si="5"/>
        <v>164.14475274742398</v>
      </c>
    </row>
    <row r="424" spans="1:5" x14ac:dyDescent="0.3">
      <c r="A424" s="7">
        <v>46080</v>
      </c>
      <c r="C424">
        <f t="shared" si="3"/>
        <v>56.775955402644186</v>
      </c>
      <c r="D424" s="8">
        <f t="shared" si="4"/>
        <v>-67.494904095472549</v>
      </c>
      <c r="E424" s="8">
        <f t="shared" si="5"/>
        <v>181.04681490076092</v>
      </c>
    </row>
    <row r="425" spans="1:5" x14ac:dyDescent="0.3">
      <c r="A425" s="7">
        <v>46081</v>
      </c>
      <c r="C425">
        <f t="shared" si="3"/>
        <v>75.639537391373977</v>
      </c>
      <c r="D425" s="8">
        <f t="shared" si="4"/>
        <v>-49.462470528208655</v>
      </c>
      <c r="E425" s="8">
        <f t="shared" si="5"/>
        <v>200.74154531095661</v>
      </c>
    </row>
    <row r="426" spans="1:5" x14ac:dyDescent="0.3">
      <c r="A426" s="7">
        <v>46082</v>
      </c>
      <c r="C426">
        <f t="shared" si="3"/>
        <v>59.350376121483364</v>
      </c>
      <c r="D426" s="8">
        <f t="shared" si="4"/>
        <v>-66.582629671327183</v>
      </c>
      <c r="E426" s="8">
        <f t="shared" si="5"/>
        <v>185.2833819142939</v>
      </c>
    </row>
    <row r="427" spans="1:5" x14ac:dyDescent="0.3">
      <c r="A427" s="7">
        <v>46083</v>
      </c>
      <c r="C427">
        <f t="shared" si="3"/>
        <v>64.824193947728105</v>
      </c>
      <c r="D427" s="8">
        <f t="shared" si="4"/>
        <v>-61.939679255219701</v>
      </c>
      <c r="E427" s="8">
        <f t="shared" si="5"/>
        <v>191.5880671506759</v>
      </c>
    </row>
    <row r="428" spans="1:5" x14ac:dyDescent="0.3">
      <c r="A428" s="7">
        <v>46084</v>
      </c>
      <c r="C428">
        <f t="shared" si="3"/>
        <v>30.821564528290281</v>
      </c>
      <c r="D428" s="8">
        <f t="shared" si="4"/>
        <v>-96.773065183247311</v>
      </c>
      <c r="E428" s="8">
        <f t="shared" si="5"/>
        <v>158.41619423982786</v>
      </c>
    </row>
    <row r="429" spans="1:5" x14ac:dyDescent="0.3">
      <c r="A429" s="7">
        <v>46085</v>
      </c>
      <c r="C429">
        <f t="shared" si="3"/>
        <v>25.741282701130292</v>
      </c>
      <c r="D429" s="8">
        <f t="shared" si="4"/>
        <v>-102.68401167251049</v>
      </c>
      <c r="E429" s="8">
        <f t="shared" si="5"/>
        <v>154.16657707477108</v>
      </c>
    </row>
    <row r="430" spans="1:5" x14ac:dyDescent="0.3">
      <c r="A430" s="7">
        <v>46086</v>
      </c>
      <c r="C430">
        <f t="shared" si="3"/>
        <v>40.232022034630745</v>
      </c>
      <c r="D430" s="8">
        <f t="shared" si="4"/>
        <v>-90.854074637018982</v>
      </c>
      <c r="E430" s="8">
        <f t="shared" si="5"/>
        <v>171.31811870628047</v>
      </c>
    </row>
    <row r="431" spans="1:5" x14ac:dyDescent="0.3">
      <c r="A431" s="7">
        <v>46087</v>
      </c>
      <c r="C431">
        <f t="shared" ref="C431:C458" si="6">_xlfn.FORECAST.ETS(A431,$B$2:$B$366,$A$2:$A$366,1,1)</f>
        <v>56.302764591658672</v>
      </c>
      <c r="D431" s="8">
        <f t="shared" ref="D431:D458" si="7">C431-_xlfn.FORECAST.ETS.CONFINT(A431,$B$2:$B$366,$A$2:$A$366,0.95,1,1)</f>
        <v>-75.602344910257472</v>
      </c>
      <c r="E431" s="8">
        <f t="shared" ref="E431:E458" si="8">C431+_xlfn.FORECAST.ETS.CONFINT(A431,$B$2:$B$366,$A$2:$A$366,0.95,1,1)</f>
        <v>188.20787409357482</v>
      </c>
    </row>
    <row r="432" spans="1:5" x14ac:dyDescent="0.3">
      <c r="A432" s="7">
        <v>46088</v>
      </c>
      <c r="C432">
        <f t="shared" si="6"/>
        <v>75.166346580388463</v>
      </c>
      <c r="D432" s="8">
        <f t="shared" si="7"/>
        <v>-57.557881920917382</v>
      </c>
      <c r="E432" s="8">
        <f t="shared" si="8"/>
        <v>207.89057508169429</v>
      </c>
    </row>
    <row r="433" spans="1:5" x14ac:dyDescent="0.3">
      <c r="A433" s="7">
        <v>46089</v>
      </c>
      <c r="C433">
        <f t="shared" si="6"/>
        <v>58.877185310497843</v>
      </c>
      <c r="D433" s="8">
        <f t="shared" si="7"/>
        <v>-74.66628266072982</v>
      </c>
      <c r="E433" s="8">
        <f t="shared" si="8"/>
        <v>192.42065328172552</v>
      </c>
    </row>
    <row r="434" spans="1:5" x14ac:dyDescent="0.3">
      <c r="A434" s="7">
        <v>46090</v>
      </c>
      <c r="C434">
        <f t="shared" si="6"/>
        <v>64.351003136742577</v>
      </c>
      <c r="D434" s="8">
        <f t="shared" si="7"/>
        <v>-70.011838727252865</v>
      </c>
      <c r="E434" s="8">
        <f t="shared" si="8"/>
        <v>198.71384500073802</v>
      </c>
    </row>
    <row r="435" spans="1:5" x14ac:dyDescent="0.3">
      <c r="A435" s="7">
        <v>46091</v>
      </c>
      <c r="C435">
        <f t="shared" si="6"/>
        <v>30.348373717304753</v>
      </c>
      <c r="D435" s="8">
        <f t="shared" si="7"/>
        <v>-104.83399007596964</v>
      </c>
      <c r="E435" s="8">
        <f t="shared" si="8"/>
        <v>165.53073751057914</v>
      </c>
    </row>
    <row r="436" spans="1:5" x14ac:dyDescent="0.3">
      <c r="A436" s="7">
        <v>46092</v>
      </c>
      <c r="C436">
        <f t="shared" si="6"/>
        <v>25.26809189014477</v>
      </c>
      <c r="D436" s="8">
        <f t="shared" si="7"/>
        <v>-110.73395515399667</v>
      </c>
      <c r="E436" s="8">
        <f t="shared" si="8"/>
        <v>161.27013893428622</v>
      </c>
    </row>
    <row r="437" spans="1:5" x14ac:dyDescent="0.3">
      <c r="A437" s="7">
        <v>46093</v>
      </c>
      <c r="C437">
        <f t="shared" si="6"/>
        <v>39.758831223645231</v>
      </c>
      <c r="D437" s="8">
        <f t="shared" si="7"/>
        <v>-98.820791935401687</v>
      </c>
      <c r="E437" s="8">
        <f t="shared" si="8"/>
        <v>178.33845438269213</v>
      </c>
    </row>
    <row r="438" spans="1:5" x14ac:dyDescent="0.3">
      <c r="A438" s="7">
        <v>46094</v>
      </c>
      <c r="C438">
        <f t="shared" si="6"/>
        <v>55.829573780673144</v>
      </c>
      <c r="D438" s="8">
        <f t="shared" si="7"/>
        <v>-83.559753371288792</v>
      </c>
      <c r="E438" s="8">
        <f t="shared" si="8"/>
        <v>195.21890093263508</v>
      </c>
    </row>
    <row r="439" spans="1:5" x14ac:dyDescent="0.3">
      <c r="A439" s="7">
        <v>46095</v>
      </c>
      <c r="C439">
        <f t="shared" si="6"/>
        <v>74.693155769402935</v>
      </c>
      <c r="D439" s="8">
        <f t="shared" si="7"/>
        <v>-65.506192409794679</v>
      </c>
      <c r="E439" s="8">
        <f t="shared" si="8"/>
        <v>214.89250394860056</v>
      </c>
    </row>
    <row r="440" spans="1:5" x14ac:dyDescent="0.3">
      <c r="A440" s="7">
        <v>46096</v>
      </c>
      <c r="C440">
        <f t="shared" si="6"/>
        <v>58.403994499512315</v>
      </c>
      <c r="D440" s="8">
        <f t="shared" si="7"/>
        <v>-82.605701672060292</v>
      </c>
      <c r="E440" s="8">
        <f t="shared" si="8"/>
        <v>199.41369067108494</v>
      </c>
    </row>
    <row r="441" spans="1:5" x14ac:dyDescent="0.3">
      <c r="A441" s="7">
        <v>46097</v>
      </c>
      <c r="C441">
        <f t="shared" si="6"/>
        <v>63.877812325757063</v>
      </c>
      <c r="D441" s="8">
        <f t="shared" si="7"/>
        <v>-77.942568504957265</v>
      </c>
      <c r="E441" s="8">
        <f t="shared" si="8"/>
        <v>205.6981931564714</v>
      </c>
    </row>
    <row r="442" spans="1:5" x14ac:dyDescent="0.3">
      <c r="A442" s="7">
        <v>46098</v>
      </c>
      <c r="C442">
        <f t="shared" si="6"/>
        <v>29.875182906319232</v>
      </c>
      <c r="D442" s="8">
        <f t="shared" si="7"/>
        <v>-112.75622872902457</v>
      </c>
      <c r="E442" s="8">
        <f t="shared" si="8"/>
        <v>172.50659454166302</v>
      </c>
    </row>
    <row r="443" spans="1:5" x14ac:dyDescent="0.3">
      <c r="A443" s="7">
        <v>46099</v>
      </c>
      <c r="C443">
        <f t="shared" si="6"/>
        <v>24.794901079159242</v>
      </c>
      <c r="D443" s="8">
        <f t="shared" si="7"/>
        <v>-118.64789676819001</v>
      </c>
      <c r="E443" s="8">
        <f t="shared" si="8"/>
        <v>168.2376989265085</v>
      </c>
    </row>
    <row r="444" spans="1:5" x14ac:dyDescent="0.3">
      <c r="A444" s="7">
        <v>46100</v>
      </c>
      <c r="C444">
        <f t="shared" si="6"/>
        <v>39.285640412659703</v>
      </c>
      <c r="D444" s="8">
        <f t="shared" si="7"/>
        <v>-106.66315469039351</v>
      </c>
      <c r="E444" s="8">
        <f t="shared" si="8"/>
        <v>185.2344355157129</v>
      </c>
    </row>
    <row r="445" spans="1:5" x14ac:dyDescent="0.3">
      <c r="A445" s="7">
        <v>46101</v>
      </c>
      <c r="C445">
        <f t="shared" si="6"/>
        <v>55.356382969687616</v>
      </c>
      <c r="D445" s="8">
        <f t="shared" si="7"/>
        <v>-91.395160435733516</v>
      </c>
      <c r="E445" s="8">
        <f t="shared" si="8"/>
        <v>202.10792637510875</v>
      </c>
    </row>
    <row r="446" spans="1:5" x14ac:dyDescent="0.3">
      <c r="A446" s="7">
        <v>46102</v>
      </c>
      <c r="C446">
        <f t="shared" si="6"/>
        <v>74.219964958417407</v>
      </c>
      <c r="D446" s="8">
        <f t="shared" si="7"/>
        <v>-73.334806971555807</v>
      </c>
      <c r="E446" s="8">
        <f t="shared" si="8"/>
        <v>221.77473688839063</v>
      </c>
    </row>
    <row r="447" spans="1:5" x14ac:dyDescent="0.3">
      <c r="A447" s="7">
        <v>46103</v>
      </c>
      <c r="C447">
        <f t="shared" si="6"/>
        <v>57.930803688526794</v>
      </c>
      <c r="D447" s="8">
        <f t="shared" si="7"/>
        <v>-90.42768382008444</v>
      </c>
      <c r="E447" s="8">
        <f t="shared" si="8"/>
        <v>206.28929119713803</v>
      </c>
    </row>
    <row r="448" spans="1:5" x14ac:dyDescent="0.3">
      <c r="A448" s="7">
        <v>46104</v>
      </c>
      <c r="C448">
        <f t="shared" si="6"/>
        <v>63.404621514771534</v>
      </c>
      <c r="D448" s="8">
        <f t="shared" si="7"/>
        <v>-85.758075306492756</v>
      </c>
      <c r="E448" s="8">
        <f t="shared" si="8"/>
        <v>212.56731833603584</v>
      </c>
    </row>
    <row r="449" spans="1:5" x14ac:dyDescent="0.3">
      <c r="A449" s="7">
        <v>46105</v>
      </c>
      <c r="C449">
        <f t="shared" si="6"/>
        <v>29.401992095333711</v>
      </c>
      <c r="D449" s="8">
        <f t="shared" si="7"/>
        <v>-120.56541430440872</v>
      </c>
      <c r="E449" s="8">
        <f t="shared" si="8"/>
        <v>179.36939849507615</v>
      </c>
    </row>
    <row r="450" spans="1:5" x14ac:dyDescent="0.3">
      <c r="A450" s="7">
        <v>46106</v>
      </c>
      <c r="C450">
        <f t="shared" si="6"/>
        <v>24.321710268173721</v>
      </c>
      <c r="D450" s="8">
        <f t="shared" si="7"/>
        <v>-126.45091236329802</v>
      </c>
      <c r="E450" s="8">
        <f t="shared" si="8"/>
        <v>175.09433289964545</v>
      </c>
    </row>
    <row r="451" spans="1:5" x14ac:dyDescent="0.3">
      <c r="A451" s="7">
        <v>46107</v>
      </c>
      <c r="C451">
        <f t="shared" si="6"/>
        <v>38.812449601674174</v>
      </c>
      <c r="D451" s="8">
        <f t="shared" si="7"/>
        <v>-114.40396724057466</v>
      </c>
      <c r="E451" s="8">
        <f t="shared" si="8"/>
        <v>192.02886644392299</v>
      </c>
    </row>
    <row r="452" spans="1:5" x14ac:dyDescent="0.3">
      <c r="A452" s="7">
        <v>46108</v>
      </c>
      <c r="C452">
        <f t="shared" si="6"/>
        <v>54.883192158702101</v>
      </c>
      <c r="D452" s="8">
        <f t="shared" si="7"/>
        <v>-99.130897958670161</v>
      </c>
      <c r="E452" s="8">
        <f t="shared" si="8"/>
        <v>208.89728227607435</v>
      </c>
    </row>
    <row r="453" spans="1:5" x14ac:dyDescent="0.3">
      <c r="A453" s="7">
        <v>46109</v>
      </c>
      <c r="C453">
        <f t="shared" si="6"/>
        <v>73.746774147431893</v>
      </c>
      <c r="D453" s="8">
        <f t="shared" si="7"/>
        <v>-81.065597572500053</v>
      </c>
      <c r="E453" s="8">
        <f t="shared" si="8"/>
        <v>228.55914586736384</v>
      </c>
    </row>
    <row r="454" spans="1:5" x14ac:dyDescent="0.3">
      <c r="A454" s="7">
        <v>46110</v>
      </c>
      <c r="C454">
        <f t="shared" si="6"/>
        <v>57.457612877541273</v>
      </c>
      <c r="D454" s="8">
        <f t="shared" si="7"/>
        <v>-98.15365336013474</v>
      </c>
      <c r="E454" s="8">
        <f t="shared" si="8"/>
        <v>213.06887911521727</v>
      </c>
    </row>
    <row r="455" spans="1:5" x14ac:dyDescent="0.3">
      <c r="A455" s="7">
        <v>46111</v>
      </c>
      <c r="C455">
        <f t="shared" si="6"/>
        <v>62.931430703786013</v>
      </c>
      <c r="D455" s="8">
        <f t="shared" si="7"/>
        <v>-93.479347453666122</v>
      </c>
      <c r="E455" s="8">
        <f t="shared" si="8"/>
        <v>219.34220886123816</v>
      </c>
    </row>
    <row r="456" spans="1:5" x14ac:dyDescent="0.3">
      <c r="A456" s="7">
        <v>46112</v>
      </c>
      <c r="C456">
        <f t="shared" si="6"/>
        <v>28.928801284348182</v>
      </c>
      <c r="D456" s="8">
        <f t="shared" si="7"/>
        <v>-128.28211058324763</v>
      </c>
      <c r="E456" s="8">
        <f t="shared" si="8"/>
        <v>186.13971315194402</v>
      </c>
    </row>
    <row r="457" spans="1:5" x14ac:dyDescent="0.3">
      <c r="A457" s="7">
        <v>46113</v>
      </c>
      <c r="C457">
        <f t="shared" si="6"/>
        <v>23.8485194571882</v>
      </c>
      <c r="D457" s="8">
        <f t="shared" si="7"/>
        <v>-134.16315220306254</v>
      </c>
      <c r="E457" s="8">
        <f t="shared" si="8"/>
        <v>181.86019111743892</v>
      </c>
    </row>
    <row r="458" spans="1:5" x14ac:dyDescent="0.3">
      <c r="A458" s="7">
        <v>46114</v>
      </c>
      <c r="C458">
        <f t="shared" si="6"/>
        <v>38.33925879068866</v>
      </c>
      <c r="D458" s="8">
        <f t="shared" si="7"/>
        <v>-122.06167601555757</v>
      </c>
      <c r="E458" s="8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0B4E3-7852-401E-AECE-123953FDA91C}">
  <dimension ref="C3:K18"/>
  <sheetViews>
    <sheetView workbookViewId="0">
      <selection activeCell="O4" sqref="O4"/>
    </sheetView>
  </sheetViews>
  <sheetFormatPr defaultRowHeight="14.4" x14ac:dyDescent="0.3"/>
  <cols>
    <col min="4" max="4" width="12.21875" bestFit="1" customWidth="1"/>
  </cols>
  <sheetData>
    <row r="3" spans="3:11" ht="15" thickBot="1" x14ac:dyDescent="0.35"/>
    <row r="4" spans="3:11" ht="15" thickBot="1" x14ac:dyDescent="0.35">
      <c r="H4" s="34" t="s">
        <v>7</v>
      </c>
      <c r="I4" s="35" t="s">
        <v>8</v>
      </c>
      <c r="J4" s="35" t="s">
        <v>9</v>
      </c>
      <c r="K4" s="36" t="s">
        <v>10</v>
      </c>
    </row>
    <row r="5" spans="3:11" x14ac:dyDescent="0.3">
      <c r="C5" s="58" t="s">
        <v>14</v>
      </c>
      <c r="D5" s="59"/>
      <c r="H5" s="37" t="s">
        <v>11</v>
      </c>
      <c r="I5" s="38">
        <v>100000</v>
      </c>
      <c r="J5" s="39">
        <v>0.1</v>
      </c>
      <c r="K5" s="40">
        <v>1.4999999999999999E-2</v>
      </c>
    </row>
    <row r="6" spans="3:11" x14ac:dyDescent="0.3">
      <c r="C6" s="12" t="s">
        <v>8</v>
      </c>
      <c r="D6" s="13">
        <v>100000</v>
      </c>
      <c r="H6" s="37" t="s">
        <v>12</v>
      </c>
      <c r="I6" s="38">
        <v>80000</v>
      </c>
      <c r="J6" s="39">
        <v>0.15</v>
      </c>
      <c r="K6" s="40">
        <v>1.2E-2</v>
      </c>
    </row>
    <row r="7" spans="3:11" ht="15" thickBot="1" x14ac:dyDescent="0.35">
      <c r="C7" s="12" t="s">
        <v>9</v>
      </c>
      <c r="D7" s="14">
        <v>0.15823870802091614</v>
      </c>
      <c r="H7" s="41" t="s">
        <v>13</v>
      </c>
      <c r="I7" s="42">
        <v>120000</v>
      </c>
      <c r="J7" s="43">
        <v>0.05</v>
      </c>
      <c r="K7" s="44">
        <v>8.0000000000000002E-3</v>
      </c>
    </row>
    <row r="8" spans="3:11" ht="15" thickBot="1" x14ac:dyDescent="0.35">
      <c r="C8" s="15" t="s">
        <v>10</v>
      </c>
      <c r="D8" s="45">
        <v>0.05</v>
      </c>
    </row>
    <row r="11" spans="3:11" x14ac:dyDescent="0.3">
      <c r="C11" s="60" t="s">
        <v>15</v>
      </c>
      <c r="D11" s="60"/>
    </row>
    <row r="12" spans="3:11" x14ac:dyDescent="0.3">
      <c r="C12" s="10" t="s">
        <v>16</v>
      </c>
      <c r="D12" s="10" t="s">
        <v>17</v>
      </c>
    </row>
    <row r="13" spans="3:11" x14ac:dyDescent="0.3">
      <c r="C13" s="17">
        <v>0</v>
      </c>
      <c r="D13" s="11">
        <f>(base*(1+raise)^C13)*(1+bonus)</f>
        <v>115823.87080209162</v>
      </c>
    </row>
    <row r="14" spans="3:11" x14ac:dyDescent="0.3">
      <c r="C14" s="17">
        <v>1</v>
      </c>
      <c r="D14" s="11">
        <f>(base*(1+raise)^C14)*(1+bonus)</f>
        <v>121615.0643421962</v>
      </c>
    </row>
    <row r="15" spans="3:11" x14ac:dyDescent="0.3">
      <c r="C15" s="17">
        <v>2</v>
      </c>
      <c r="D15" s="11">
        <f>(base*(1+raise)^C15)*(1+bonus)</f>
        <v>127695.81755930602</v>
      </c>
    </row>
    <row r="16" spans="3:11" x14ac:dyDescent="0.3">
      <c r="C16" s="17">
        <v>3</v>
      </c>
      <c r="D16" s="11">
        <f>(base*(1+raise)^C16)*(1+bonus)</f>
        <v>134080.60843727132</v>
      </c>
    </row>
    <row r="17" spans="3:4" ht="15" thickBot="1" x14ac:dyDescent="0.35">
      <c r="C17" s="47">
        <v>4</v>
      </c>
      <c r="D17" s="11">
        <f>(base*(1+raise)^C17)*(1+bonus)</f>
        <v>140784.63885913487</v>
      </c>
    </row>
    <row r="18" spans="3:4" ht="15.6" thickTop="1" thickBot="1" x14ac:dyDescent="0.35">
      <c r="C18" s="16" t="s">
        <v>18</v>
      </c>
      <c r="D18" s="46">
        <f>SUM(D13:D17)</f>
        <v>640000</v>
      </c>
    </row>
  </sheetData>
  <mergeCells count="2">
    <mergeCell ref="C5:D5"/>
    <mergeCell ref="C11:D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731FA-9FD3-4A90-BE33-70A9C3748AB3}">
  <sheetPr>
    <outlinePr summaryBelow="0"/>
  </sheetPr>
  <dimension ref="B1:G18"/>
  <sheetViews>
    <sheetView showGridLines="0" workbookViewId="0">
      <selection activeCell="J14" sqref="J14"/>
    </sheetView>
  </sheetViews>
  <sheetFormatPr defaultRowHeight="14.4" outlineLevelRow="1" outlineLevelCol="1" x14ac:dyDescent="0.3"/>
  <cols>
    <col min="3" max="3" width="10.33203125" bestFit="1" customWidth="1"/>
    <col min="4" max="7" width="12.6640625" bestFit="1" customWidth="1" outlineLevel="1"/>
  </cols>
  <sheetData>
    <row r="1" spans="2:7" ht="15" thickBot="1" x14ac:dyDescent="0.35"/>
    <row r="2" spans="2:7" ht="15.6" x14ac:dyDescent="0.3">
      <c r="B2" s="23" t="s">
        <v>29</v>
      </c>
      <c r="C2" s="23"/>
      <c r="D2" s="28"/>
      <c r="E2" s="28"/>
      <c r="F2" s="28"/>
      <c r="G2" s="28"/>
    </row>
    <row r="3" spans="2:7" ht="15.6" collapsed="1" x14ac:dyDescent="0.3">
      <c r="B3" s="22"/>
      <c r="C3" s="22"/>
      <c r="D3" s="29" t="s">
        <v>31</v>
      </c>
      <c r="E3" s="29" t="s">
        <v>11</v>
      </c>
      <c r="F3" s="29" t="s">
        <v>12</v>
      </c>
      <c r="G3" s="29" t="s">
        <v>13</v>
      </c>
    </row>
    <row r="4" spans="2:7" ht="43.2" hidden="1" outlineLevel="1" x14ac:dyDescent="0.3">
      <c r="B4" s="25"/>
      <c r="C4" s="25"/>
      <c r="E4" s="33" t="s">
        <v>28</v>
      </c>
      <c r="F4" s="33" t="s">
        <v>28</v>
      </c>
      <c r="G4" s="33" t="s">
        <v>28</v>
      </c>
    </row>
    <row r="5" spans="2:7" x14ac:dyDescent="0.3">
      <c r="B5" s="26" t="s">
        <v>30</v>
      </c>
      <c r="C5" s="26"/>
      <c r="D5" s="24"/>
      <c r="E5" s="24"/>
      <c r="F5" s="24"/>
      <c r="G5" s="24"/>
    </row>
    <row r="6" spans="2:7" outlineLevel="1" x14ac:dyDescent="0.3">
      <c r="B6" s="25"/>
      <c r="C6" s="25" t="s">
        <v>19</v>
      </c>
      <c r="D6" s="18">
        <v>100000</v>
      </c>
      <c r="E6" s="30">
        <v>100000</v>
      </c>
      <c r="F6" s="30">
        <v>80000</v>
      </c>
      <c r="G6" s="30">
        <v>120000</v>
      </c>
    </row>
    <row r="7" spans="2:7" outlineLevel="1" x14ac:dyDescent="0.3">
      <c r="B7" s="25"/>
      <c r="C7" s="25" t="s">
        <v>20</v>
      </c>
      <c r="D7" s="19">
        <v>0.1</v>
      </c>
      <c r="E7" s="31">
        <v>0.1</v>
      </c>
      <c r="F7" s="31">
        <v>0.15</v>
      </c>
      <c r="G7" s="31">
        <v>0.05</v>
      </c>
    </row>
    <row r="8" spans="2:7" outlineLevel="1" x14ac:dyDescent="0.3">
      <c r="B8" s="25"/>
      <c r="C8" s="25" t="s">
        <v>21</v>
      </c>
      <c r="D8" s="20">
        <v>1.4999999999999999E-2</v>
      </c>
      <c r="E8" s="32">
        <v>1.4999999999999999E-2</v>
      </c>
      <c r="F8" s="32">
        <v>1.2E-2</v>
      </c>
      <c r="G8" s="32">
        <v>8.0000000000000002E-3</v>
      </c>
    </row>
    <row r="9" spans="2:7" x14ac:dyDescent="0.3">
      <c r="B9" s="26" t="s">
        <v>32</v>
      </c>
      <c r="C9" s="26"/>
      <c r="D9" s="24"/>
      <c r="E9" s="24"/>
      <c r="F9" s="24"/>
      <c r="G9" s="24"/>
    </row>
    <row r="10" spans="2:7" outlineLevel="1" x14ac:dyDescent="0.3">
      <c r="B10" s="25"/>
      <c r="C10" s="25" t="s">
        <v>22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3">
      <c r="B11" s="25"/>
      <c r="C11" s="25" t="s">
        <v>23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3">
      <c r="B12" s="25"/>
      <c r="C12" s="25" t="s">
        <v>24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3">
      <c r="B13" s="25"/>
      <c r="C13" s="25" t="s">
        <v>25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3">
      <c r="B14" s="25"/>
      <c r="C14" s="25" t="s">
        <v>26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5" outlineLevel="1" thickBot="1" x14ac:dyDescent="0.35">
      <c r="B15" s="27"/>
      <c r="C15" s="27" t="s">
        <v>27</v>
      </c>
      <c r="D15" s="21">
        <v>566749.36181875004</v>
      </c>
      <c r="E15" s="21">
        <v>566749.36181875004</v>
      </c>
      <c r="F15" s="21">
        <v>471173.27678771201</v>
      </c>
      <c r="G15" s="21">
        <v>640160.96307609603</v>
      </c>
    </row>
    <row r="16" spans="2:7" x14ac:dyDescent="0.3">
      <c r="B16" t="s">
        <v>33</v>
      </c>
    </row>
    <row r="17" spans="2:2" x14ac:dyDescent="0.3">
      <c r="B17" t="s">
        <v>34</v>
      </c>
    </row>
    <row r="18" spans="2:2" x14ac:dyDescent="0.3">
      <c r="B18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11D65-2A56-4BFB-BA86-FD61E8727F80}">
  <dimension ref="A1:G29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9.77734375" bestFit="1" customWidth="1"/>
    <col min="4" max="4" width="12.5546875" bestFit="1" customWidth="1"/>
    <col min="5" max="5" width="13.33203125" bestFit="1" customWidth="1"/>
    <col min="6" max="6" width="10.109375" bestFit="1" customWidth="1"/>
    <col min="7" max="7" width="12" bestFit="1" customWidth="1"/>
  </cols>
  <sheetData>
    <row r="1" spans="1:5" x14ac:dyDescent="0.3">
      <c r="A1" s="9" t="s">
        <v>36</v>
      </c>
    </row>
    <row r="2" spans="1:5" x14ac:dyDescent="0.3">
      <c r="A2" s="9" t="s">
        <v>79</v>
      </c>
    </row>
    <row r="3" spans="1:5" x14ac:dyDescent="0.3">
      <c r="A3" s="9" t="s">
        <v>80</v>
      </c>
    </row>
    <row r="4" spans="1:5" x14ac:dyDescent="0.3">
      <c r="A4" s="9" t="s">
        <v>37</v>
      </c>
    </row>
    <row r="5" spans="1:5" x14ac:dyDescent="0.3">
      <c r="A5" s="9" t="s">
        <v>38</v>
      </c>
    </row>
    <row r="6" spans="1:5" x14ac:dyDescent="0.3">
      <c r="A6" s="9"/>
      <c r="B6" t="s">
        <v>39</v>
      </c>
    </row>
    <row r="7" spans="1:5" x14ac:dyDescent="0.3">
      <c r="A7" s="9"/>
      <c r="B7" t="s">
        <v>81</v>
      </c>
    </row>
    <row r="8" spans="1:5" x14ac:dyDescent="0.3">
      <c r="A8" s="9"/>
      <c r="B8" t="s">
        <v>82</v>
      </c>
    </row>
    <row r="9" spans="1:5" x14ac:dyDescent="0.3">
      <c r="A9" s="9" t="s">
        <v>40</v>
      </c>
    </row>
    <row r="10" spans="1:5" x14ac:dyDescent="0.3">
      <c r="B10" t="s">
        <v>71</v>
      </c>
    </row>
    <row r="11" spans="1:5" x14ac:dyDescent="0.3">
      <c r="B11" t="s">
        <v>72</v>
      </c>
    </row>
    <row r="12" spans="1:5" x14ac:dyDescent="0.3">
      <c r="B12" t="s">
        <v>41</v>
      </c>
    </row>
    <row r="14" spans="1:5" ht="15" thickBot="1" x14ac:dyDescent="0.35">
      <c r="A14" t="s">
        <v>42</v>
      </c>
    </row>
    <row r="15" spans="1:5" ht="15" thickBot="1" x14ac:dyDescent="0.35">
      <c r="B15" s="49" t="s">
        <v>43</v>
      </c>
      <c r="C15" s="49" t="s">
        <v>44</v>
      </c>
      <c r="D15" s="49" t="s">
        <v>45</v>
      </c>
      <c r="E15" s="49" t="s">
        <v>46</v>
      </c>
    </row>
    <row r="16" spans="1:5" ht="15" thickBot="1" x14ac:dyDescent="0.35">
      <c r="B16" s="48" t="s">
        <v>73</v>
      </c>
      <c r="C16" s="48" t="s">
        <v>27</v>
      </c>
      <c r="D16" s="51">
        <v>566749.36179999996</v>
      </c>
      <c r="E16" s="51">
        <v>640000</v>
      </c>
    </row>
    <row r="19" spans="1:7" ht="15" thickBot="1" x14ac:dyDescent="0.35">
      <c r="A19" t="s">
        <v>47</v>
      </c>
    </row>
    <row r="20" spans="1:7" ht="15" thickBot="1" x14ac:dyDescent="0.35">
      <c r="B20" s="49" t="s">
        <v>43</v>
      </c>
      <c r="C20" s="49" t="s">
        <v>44</v>
      </c>
      <c r="D20" s="49" t="s">
        <v>45</v>
      </c>
      <c r="E20" s="49" t="s">
        <v>46</v>
      </c>
      <c r="F20" s="49" t="s">
        <v>48</v>
      </c>
    </row>
    <row r="21" spans="1:7" x14ac:dyDescent="0.3">
      <c r="B21" s="50" t="s">
        <v>55</v>
      </c>
      <c r="C21" s="50" t="s">
        <v>20</v>
      </c>
      <c r="D21" s="52">
        <v>0.1</v>
      </c>
      <c r="E21" s="52">
        <v>0.15823870802091614</v>
      </c>
      <c r="F21" s="50" t="s">
        <v>54</v>
      </c>
    </row>
    <row r="22" spans="1:7" ht="15" thickBot="1" x14ac:dyDescent="0.35">
      <c r="B22" s="48" t="s">
        <v>74</v>
      </c>
      <c r="C22" s="48" t="s">
        <v>21</v>
      </c>
      <c r="D22" s="53">
        <v>1.4999999999999999E-2</v>
      </c>
      <c r="E22" s="53">
        <v>0.05</v>
      </c>
      <c r="F22" s="48" t="s">
        <v>54</v>
      </c>
    </row>
    <row r="25" spans="1:7" ht="15" thickBot="1" x14ac:dyDescent="0.35">
      <c r="A25" t="s">
        <v>49</v>
      </c>
    </row>
    <row r="26" spans="1:7" ht="15" thickBot="1" x14ac:dyDescent="0.35">
      <c r="B26" s="49" t="s">
        <v>43</v>
      </c>
      <c r="C26" s="49" t="s">
        <v>44</v>
      </c>
      <c r="D26" s="49" t="s">
        <v>50</v>
      </c>
      <c r="E26" s="49" t="s">
        <v>51</v>
      </c>
      <c r="F26" s="49" t="s">
        <v>52</v>
      </c>
      <c r="G26" s="49" t="s">
        <v>53</v>
      </c>
    </row>
    <row r="27" spans="1:7" x14ac:dyDescent="0.3">
      <c r="B27" s="50" t="s">
        <v>73</v>
      </c>
      <c r="C27" s="50" t="s">
        <v>27</v>
      </c>
      <c r="D27" s="54">
        <v>640000</v>
      </c>
      <c r="E27" s="50" t="s">
        <v>75</v>
      </c>
      <c r="F27" s="50" t="s">
        <v>56</v>
      </c>
      <c r="G27" s="50">
        <v>0</v>
      </c>
    </row>
    <row r="28" spans="1:7" x14ac:dyDescent="0.3">
      <c r="B28" s="50" t="s">
        <v>55</v>
      </c>
      <c r="C28" s="50" t="s">
        <v>20</v>
      </c>
      <c r="D28" s="52">
        <v>0.15823870802091614</v>
      </c>
      <c r="E28" s="50" t="s">
        <v>76</v>
      </c>
      <c r="F28" s="50" t="s">
        <v>77</v>
      </c>
      <c r="G28" s="50">
        <v>4.1761291979083875E-2</v>
      </c>
    </row>
    <row r="29" spans="1:7" ht="15" thickBot="1" x14ac:dyDescent="0.35">
      <c r="B29" s="48" t="s">
        <v>74</v>
      </c>
      <c r="C29" s="48" t="s">
        <v>21</v>
      </c>
      <c r="D29" s="53">
        <v>0.05</v>
      </c>
      <c r="E29" s="48" t="s">
        <v>78</v>
      </c>
      <c r="F29" s="48" t="s">
        <v>56</v>
      </c>
      <c r="G29" s="4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E1405-F13A-49F6-8592-88301C9051F6}">
  <dimension ref="A1:E15"/>
  <sheetViews>
    <sheetView showGridLines="0" tabSelected="1" workbookViewId="0"/>
  </sheetViews>
  <sheetFormatPr defaultRowHeight="14.4" x14ac:dyDescent="0.3"/>
  <cols>
    <col min="1" max="1" width="2.33203125" customWidth="1"/>
    <col min="2" max="2" width="6.21875" bestFit="1" customWidth="1"/>
    <col min="3" max="3" width="9.77734375" bestFit="1" customWidth="1"/>
    <col min="4" max="4" width="12" bestFit="1" customWidth="1"/>
    <col min="5" max="5" width="9.109375" bestFit="1" customWidth="1"/>
  </cols>
  <sheetData>
    <row r="1" spans="1:5" x14ac:dyDescent="0.3">
      <c r="A1" s="9" t="s">
        <v>57</v>
      </c>
    </row>
    <row r="2" spans="1:5" x14ac:dyDescent="0.3">
      <c r="A2" s="9" t="s">
        <v>79</v>
      </c>
    </row>
    <row r="3" spans="1:5" x14ac:dyDescent="0.3">
      <c r="A3" s="9" t="s">
        <v>80</v>
      </c>
    </row>
    <row r="6" spans="1:5" ht="15" thickBot="1" x14ac:dyDescent="0.35">
      <c r="A6" t="s">
        <v>47</v>
      </c>
    </row>
    <row r="7" spans="1:5" x14ac:dyDescent="0.3">
      <c r="B7" s="55"/>
      <c r="C7" s="55"/>
      <c r="D7" s="55" t="s">
        <v>58</v>
      </c>
      <c r="E7" s="55" t="s">
        <v>60</v>
      </c>
    </row>
    <row r="8" spans="1:5" ht="15" thickBot="1" x14ac:dyDescent="0.35">
      <c r="B8" s="56" t="s">
        <v>43</v>
      </c>
      <c r="C8" s="56" t="s">
        <v>44</v>
      </c>
      <c r="D8" s="56" t="s">
        <v>59</v>
      </c>
      <c r="E8" s="56" t="s">
        <v>61</v>
      </c>
    </row>
    <row r="9" spans="1:5" x14ac:dyDescent="0.3">
      <c r="B9" s="50" t="s">
        <v>55</v>
      </c>
      <c r="C9" s="50" t="s">
        <v>20</v>
      </c>
      <c r="D9" s="50">
        <v>0.15823870802091614</v>
      </c>
      <c r="E9" s="50">
        <v>0</v>
      </c>
    </row>
    <row r="10" spans="1:5" ht="15" thickBot="1" x14ac:dyDescent="0.35">
      <c r="B10" s="48" t="s">
        <v>74</v>
      </c>
      <c r="C10" s="48" t="s">
        <v>21</v>
      </c>
      <c r="D10" s="48">
        <v>0.05</v>
      </c>
      <c r="E10" s="48">
        <v>0</v>
      </c>
    </row>
    <row r="12" spans="1:5" ht="15" thickBot="1" x14ac:dyDescent="0.35">
      <c r="A12" t="s">
        <v>49</v>
      </c>
    </row>
    <row r="13" spans="1:5" x14ac:dyDescent="0.3">
      <c r="B13" s="55"/>
      <c r="C13" s="55"/>
      <c r="D13" s="55" t="s">
        <v>58</v>
      </c>
      <c r="E13" s="55" t="s">
        <v>62</v>
      </c>
    </row>
    <row r="14" spans="1:5" ht="15" thickBot="1" x14ac:dyDescent="0.35">
      <c r="B14" s="56" t="s">
        <v>43</v>
      </c>
      <c r="C14" s="56" t="s">
        <v>44</v>
      </c>
      <c r="D14" s="56" t="s">
        <v>59</v>
      </c>
      <c r="E14" s="56" t="s">
        <v>63</v>
      </c>
    </row>
    <row r="15" spans="1:5" ht="15" thickBot="1" x14ac:dyDescent="0.35">
      <c r="B15" s="48" t="s">
        <v>73</v>
      </c>
      <c r="C15" s="48" t="s">
        <v>27</v>
      </c>
      <c r="D15" s="57">
        <v>640000</v>
      </c>
      <c r="E15" s="4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98BAB-0885-4ED0-BCD9-29EC0FAE4BF8}">
  <dimension ref="A1:J14"/>
  <sheetViews>
    <sheetView showGridLines="0" topLeftCell="B1" workbookViewId="0"/>
  </sheetViews>
  <sheetFormatPr defaultRowHeight="14.4" x14ac:dyDescent="0.3"/>
  <cols>
    <col min="1" max="1" width="2.33203125" customWidth="1"/>
    <col min="2" max="2" width="6.21875" bestFit="1" customWidth="1"/>
    <col min="3" max="3" width="9.77734375" bestFit="1" customWidth="1"/>
    <col min="4" max="4" width="9.6640625" bestFit="1" customWidth="1"/>
    <col min="5" max="5" width="2.33203125" customWidth="1"/>
    <col min="6" max="6" width="5.88671875" bestFit="1" customWidth="1"/>
    <col min="7" max="7" width="12.109375" bestFit="1" customWidth="1"/>
    <col min="8" max="8" width="2.33203125" customWidth="1"/>
    <col min="9" max="9" width="6.109375" bestFit="1" customWidth="1"/>
    <col min="10" max="10" width="12.109375" bestFit="1" customWidth="1"/>
  </cols>
  <sheetData>
    <row r="1" spans="1:10" x14ac:dyDescent="0.3">
      <c r="A1" s="9" t="s">
        <v>64</v>
      </c>
    </row>
    <row r="2" spans="1:10" x14ac:dyDescent="0.3">
      <c r="A2" s="9" t="s">
        <v>79</v>
      </c>
    </row>
    <row r="3" spans="1:10" x14ac:dyDescent="0.3">
      <c r="A3" s="9" t="s">
        <v>80</v>
      </c>
    </row>
    <row r="5" spans="1:10" ht="15" thickBot="1" x14ac:dyDescent="0.35"/>
    <row r="6" spans="1:10" x14ac:dyDescent="0.3">
      <c r="B6" s="55"/>
      <c r="C6" s="55" t="s">
        <v>65</v>
      </c>
      <c r="D6" s="55"/>
    </row>
    <row r="7" spans="1:10" ht="15" thickBot="1" x14ac:dyDescent="0.35">
      <c r="B7" s="56" t="s">
        <v>43</v>
      </c>
      <c r="C7" s="56" t="s">
        <v>44</v>
      </c>
      <c r="D7" s="56" t="s">
        <v>59</v>
      </c>
    </row>
    <row r="8" spans="1:10" ht="15" thickBot="1" x14ac:dyDescent="0.35">
      <c r="B8" s="48" t="s">
        <v>73</v>
      </c>
      <c r="C8" s="48" t="s">
        <v>27</v>
      </c>
      <c r="D8" s="51">
        <v>640000</v>
      </c>
    </row>
    <row r="10" spans="1:10" ht="15" thickBot="1" x14ac:dyDescent="0.35"/>
    <row r="11" spans="1:10" x14ac:dyDescent="0.3">
      <c r="B11" s="55"/>
      <c r="C11" s="55" t="s">
        <v>66</v>
      </c>
      <c r="D11" s="55"/>
      <c r="F11" s="55" t="s">
        <v>67</v>
      </c>
      <c r="G11" s="55" t="s">
        <v>65</v>
      </c>
      <c r="I11" s="55" t="s">
        <v>70</v>
      </c>
      <c r="J11" s="55" t="s">
        <v>65</v>
      </c>
    </row>
    <row r="12" spans="1:10" ht="15" thickBot="1" x14ac:dyDescent="0.35">
      <c r="B12" s="56" t="s">
        <v>43</v>
      </c>
      <c r="C12" s="56" t="s">
        <v>44</v>
      </c>
      <c r="D12" s="56" t="s">
        <v>59</v>
      </c>
      <c r="F12" s="56" t="s">
        <v>68</v>
      </c>
      <c r="G12" s="56" t="s">
        <v>69</v>
      </c>
      <c r="I12" s="56" t="s">
        <v>68</v>
      </c>
      <c r="J12" s="56" t="s">
        <v>69</v>
      </c>
    </row>
    <row r="13" spans="1:10" x14ac:dyDescent="0.3">
      <c r="B13" s="50" t="s">
        <v>55</v>
      </c>
      <c r="C13" s="50" t="s">
        <v>20</v>
      </c>
      <c r="D13" s="52">
        <v>0.15823870802091614</v>
      </c>
      <c r="F13" s="52">
        <v>0</v>
      </c>
      <c r="G13" s="52">
        <v>552563.13</v>
      </c>
      <c r="I13" s="52">
        <v>0.2</v>
      </c>
      <c r="J13" s="52">
        <v>663075.75</v>
      </c>
    </row>
    <row r="14" spans="1:10" ht="15" thickBot="1" x14ac:dyDescent="0.35">
      <c r="B14" s="48" t="s">
        <v>74</v>
      </c>
      <c r="C14" s="48" t="s">
        <v>21</v>
      </c>
      <c r="D14" s="53">
        <v>0.05</v>
      </c>
      <c r="F14" s="53">
        <v>0</v>
      </c>
      <c r="G14" s="53">
        <v>579119.35</v>
      </c>
      <c r="I14" s="53">
        <v>0.05</v>
      </c>
      <c r="J14" s="53">
        <v>640000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8</vt:i4>
      </vt:variant>
    </vt:vector>
  </HeadingPairs>
  <TitlesOfParts>
    <vt:vector size="15" baseType="lpstr">
      <vt:lpstr>Forcast_original</vt:lpstr>
      <vt:lpstr>Forcast_Final</vt:lpstr>
      <vt:lpstr>What_if_analysis</vt:lpstr>
      <vt:lpstr>Scenario Summary</vt:lpstr>
      <vt:lpstr>Answer Report 1</vt:lpstr>
      <vt:lpstr>Sensitivity Report 1</vt:lpstr>
      <vt:lpstr>Limits Report 1</vt:lpstr>
      <vt:lpstr>base</vt:lpstr>
      <vt:lpstr>bonus</vt:lpstr>
      <vt:lpstr>raise</vt:lpstr>
      <vt:lpstr>TotalSalary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Johnfinnian Nnnaemeka</dc:creator>
  <cp:lastModifiedBy>Johnfinnian Nnnaemeka</cp:lastModifiedBy>
  <dcterms:created xsi:type="dcterms:W3CDTF">2025-11-16T19:52:46Z</dcterms:created>
  <dcterms:modified xsi:type="dcterms:W3CDTF">2025-11-25T07:02:30Z</dcterms:modified>
</cp:coreProperties>
</file>