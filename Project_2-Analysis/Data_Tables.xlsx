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mc\Documents\Data_Analyst_Excel\Excel_Project_Data_Analytics\"/>
    </mc:Choice>
  </mc:AlternateContent>
  <xr:revisionPtr revIDLastSave="0" documentId="13_ncr:1_{8D8C65A0-6120-45A5-9F70-779F98A54300}" xr6:coauthVersionLast="47" xr6:coauthVersionMax="47" xr10:uidLastSave="{00000000-0000-0000-0000-000000000000}"/>
  <bookViews>
    <workbookView xWindow="-108" yWindow="-108" windowWidth="23256" windowHeight="12456" xr2:uid="{2938819E-BF80-4F33-AC13-75C2146AEABE}"/>
  </bookViews>
  <sheets>
    <sheet name="Original" sheetId="1" r:id="rId1"/>
    <sheet name="Data Table One Input" sheetId="2" r:id="rId2"/>
    <sheet name="Data Table Two Input" sheetId="3" r:id="rId3"/>
  </sheets>
  <definedNames>
    <definedName name="base" localSheetId="1">'Data Table One Input'!$C$4</definedName>
    <definedName name="base" localSheetId="2">'Data Table Two Input'!$C$4</definedName>
    <definedName name="base">Original!$C$4</definedName>
    <definedName name="bonus" localSheetId="1">'Data Table One Input'!$C$5</definedName>
    <definedName name="bonus" localSheetId="2">'Data Table Two Input'!$C$5</definedName>
    <definedName name="bonus">Original!$C$5</definedName>
    <definedName name="raise" localSheetId="1">'Data Table One Input'!$C$6</definedName>
    <definedName name="raise" localSheetId="2">'Data Table Two Input'!$C$6</definedName>
    <definedName name="raise">Original!$C$6</definedName>
    <definedName name="Totalsalary" localSheetId="1">'Data Table One Input'!$C$16</definedName>
    <definedName name="Totalsalary" localSheetId="2">'Data Table Two Input'!$C$16</definedName>
    <definedName name="Totalsalary">Original!$C$16</definedName>
    <definedName name="Year0" localSheetId="1">'Data Table One Input'!$C$11</definedName>
    <definedName name="Year0" localSheetId="2">'Data Table Two Input'!$C$11</definedName>
    <definedName name="Year0">Original!$C$11</definedName>
    <definedName name="Year1" localSheetId="1">'Data Table One Input'!$C$12</definedName>
    <definedName name="Year1" localSheetId="2">'Data Table Two Input'!$C$12</definedName>
    <definedName name="Year1">Original!$C$12</definedName>
    <definedName name="Year2" localSheetId="1">'Data Table One Input'!$C$13</definedName>
    <definedName name="Year2" localSheetId="2">'Data Table Two Input'!$C$13</definedName>
    <definedName name="Year2">Original!$C$13</definedName>
    <definedName name="Year3" localSheetId="1">'Data Table One Input'!$C$14</definedName>
    <definedName name="Year3" localSheetId="2">'Data Table Two Input'!$C$14</definedName>
    <definedName name="Year3">Original!$C$14</definedName>
    <definedName name="year4" localSheetId="1">'Data Table One Input'!$C$15</definedName>
    <definedName name="year4" localSheetId="2">'Data Table Two Input'!$C$15</definedName>
    <definedName name="year4">Original!$C$15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3" l="1"/>
  <c r="C14" i="3"/>
  <c r="C13" i="3"/>
  <c r="C12" i="3"/>
  <c r="C11" i="3"/>
  <c r="C15" i="2"/>
  <c r="K4" i="2" s="1"/>
  <c r="C14" i="2"/>
  <c r="J4" i="2" s="1"/>
  <c r="C13" i="2"/>
  <c r="I4" i="2" s="1"/>
  <c r="C12" i="2"/>
  <c r="H4" i="2" s="1"/>
  <c r="C11" i="2"/>
  <c r="C12" i="1"/>
  <c r="C13" i="1"/>
  <c r="C14" i="1"/>
  <c r="C15" i="1"/>
  <c r="C11" i="1"/>
  <c r="C16" i="3" l="1"/>
  <c r="F4" i="3" s="1"/>
  <c r="C16" i="2"/>
  <c r="L4" i="2" s="1"/>
  <c r="G4" i="2"/>
  <c r="C16" i="1"/>
</calcChain>
</file>

<file path=xl/sharedStrings.xml><?xml version="1.0" encoding="utf-8"?>
<sst xmlns="http://schemas.openxmlformats.org/spreadsheetml/2006/main" count="40" uniqueCount="13">
  <si>
    <t>Input Cells</t>
  </si>
  <si>
    <t>Bonus</t>
  </si>
  <si>
    <t>Annual raise</t>
  </si>
  <si>
    <t>Base salary</t>
  </si>
  <si>
    <t>Result Cells</t>
  </si>
  <si>
    <t>Year</t>
  </si>
  <si>
    <t>Amount</t>
  </si>
  <si>
    <t>Year1</t>
  </si>
  <si>
    <t>Year2</t>
  </si>
  <si>
    <t>Year3</t>
  </si>
  <si>
    <t>Year4</t>
  </si>
  <si>
    <t>Total</t>
  </si>
  <si>
    <t xml:space="preserve">Year0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</si>
</sst>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%"/>
    <numFmt numFmtId="165" formatCode="_(&quot;$&quot;* #,##0_);_(&quot;$&quot;* \(#,##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4" xfId="0" applyFont="1" applyBorder="1"/>
    <xf numFmtId="165" fontId="0" fillId="0" borderId="5" xfId="1" applyNumberFormat="1" applyFont="1" applyBorder="1"/>
    <xf numFmtId="164" fontId="0" fillId="0" borderId="5" xfId="0" applyNumberFormat="1" applyBorder="1"/>
    <xf numFmtId="0" fontId="2" fillId="0" borderId="6" xfId="0" applyFont="1" applyBorder="1"/>
    <xf numFmtId="164" fontId="0" fillId="0" borderId="7" xfId="2" applyNumberFormat="1" applyFont="1" applyBorder="1"/>
    <xf numFmtId="0" fontId="2" fillId="0" borderId="5" xfId="0" applyFont="1" applyBorder="1"/>
    <xf numFmtId="0" fontId="2" fillId="0" borderId="4" xfId="0" applyFont="1" applyBorder="1" applyAlignment="1">
      <alignment horizontal="left"/>
    </xf>
    <xf numFmtId="0" fontId="2" fillId="0" borderId="8" xfId="0" applyFont="1" applyBorder="1"/>
    <xf numFmtId="0" fontId="2" fillId="0" borderId="10" xfId="0" applyFont="1" applyBorder="1" applyAlignment="1">
      <alignment horizontal="left"/>
    </xf>
    <xf numFmtId="165" fontId="0" fillId="0" borderId="11" xfId="1" applyNumberFormat="1" applyFont="1" applyBorder="1"/>
    <xf numFmtId="165" fontId="2" fillId="0" borderId="9" xfId="0" applyNumberFormat="1" applyFont="1" applyBorder="1"/>
    <xf numFmtId="165" fontId="0" fillId="0" borderId="0" xfId="1" applyNumberFormat="1" applyFont="1" applyBorder="1"/>
    <xf numFmtId="0" fontId="2" fillId="0" borderId="0" xfId="0" applyFont="1"/>
    <xf numFmtId="165" fontId="0" fillId="0" borderId="12" xfId="1" applyNumberFormat="1" applyFont="1" applyBorder="1"/>
    <xf numFmtId="164" fontId="0" fillId="0" borderId="18" xfId="2" applyNumberFormat="1" applyFont="1" applyBorder="1"/>
    <xf numFmtId="164" fontId="0" fillId="0" borderId="19" xfId="2" applyNumberFormat="1" applyFont="1" applyBorder="1"/>
    <xf numFmtId="165" fontId="0" fillId="0" borderId="13" xfId="1" applyNumberFormat="1" applyFont="1" applyBorder="1"/>
    <xf numFmtId="165" fontId="0" fillId="0" borderId="14" xfId="1" applyNumberFormat="1" applyFont="1" applyBorder="1"/>
    <xf numFmtId="165" fontId="0" fillId="0" borderId="15" xfId="1" applyNumberFormat="1" applyFont="1" applyBorder="1"/>
    <xf numFmtId="165" fontId="0" fillId="0" borderId="16" xfId="1" applyNumberFormat="1" applyFont="1" applyBorder="1"/>
    <xf numFmtId="165" fontId="0" fillId="0" borderId="17" xfId="1" applyNumberFormat="1" applyFont="1" applyBorder="1"/>
    <xf numFmtId="0" fontId="0" fillId="0" borderId="1" xfId="0" applyBorder="1"/>
    <xf numFmtId="9" fontId="2" fillId="0" borderId="15" xfId="2" applyFont="1" applyBorder="1"/>
    <xf numFmtId="164" fontId="2" fillId="0" borderId="16" xfId="2" applyNumberFormat="1" applyFont="1" applyBorder="1"/>
    <xf numFmtId="9" fontId="2" fillId="0" borderId="16" xfId="2" applyFont="1" applyBorder="1"/>
    <xf numFmtId="164" fontId="2" fillId="0" borderId="17" xfId="2" applyNumberFormat="1" applyFont="1" applyBorder="1"/>
    <xf numFmtId="164" fontId="2" fillId="0" borderId="20" xfId="2" applyNumberFormat="1" applyFont="1" applyBorder="1"/>
    <xf numFmtId="164" fontId="2" fillId="0" borderId="18" xfId="2" applyNumberFormat="1" applyFont="1" applyBorder="1"/>
    <xf numFmtId="164" fontId="2" fillId="0" borderId="19" xfId="2" applyNumberFormat="1" applyFont="1" applyBorder="1"/>
    <xf numFmtId="165" fontId="5" fillId="0" borderId="1" xfId="1" applyNumberFormat="1" applyFont="1" applyBorder="1"/>
    <xf numFmtId="0" fontId="2" fillId="0" borderId="13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BC9A-317B-4479-8839-017816F5E60E}">
  <dimension ref="B2:L16"/>
  <sheetViews>
    <sheetView tabSelected="1" workbookViewId="0">
      <selection activeCell="E18" sqref="E18"/>
    </sheetView>
  </sheetViews>
  <sheetFormatPr defaultRowHeight="14.4" x14ac:dyDescent="0.3"/>
  <cols>
    <col min="2" max="2" width="11.109375" bestFit="1" customWidth="1"/>
    <col min="3" max="3" width="9.6640625" bestFit="1" customWidth="1"/>
    <col min="6" max="6" width="11.109375" bestFit="1" customWidth="1"/>
    <col min="7" max="12" width="12.21875" bestFit="1" customWidth="1"/>
  </cols>
  <sheetData>
    <row r="2" spans="2:12" ht="15" thickBot="1" x14ac:dyDescent="0.35"/>
    <row r="3" spans="2:12" ht="15" thickBot="1" x14ac:dyDescent="0.35">
      <c r="B3" s="32" t="s">
        <v>0</v>
      </c>
      <c r="C3" s="33"/>
      <c r="F3" s="13" t="s">
        <v>2</v>
      </c>
      <c r="G3" s="13" t="s">
        <v>12</v>
      </c>
      <c r="H3" s="13" t="s">
        <v>7</v>
      </c>
      <c r="I3" s="13" t="s">
        <v>8</v>
      </c>
      <c r="J3" s="13" t="s">
        <v>9</v>
      </c>
      <c r="K3" s="13" t="s">
        <v>10</v>
      </c>
      <c r="L3" s="13" t="s">
        <v>11</v>
      </c>
    </row>
    <row r="4" spans="2:12" ht="15" thickBot="1" x14ac:dyDescent="0.35">
      <c r="B4" s="1" t="s">
        <v>3</v>
      </c>
      <c r="C4" s="2">
        <v>100000</v>
      </c>
      <c r="F4" s="22"/>
      <c r="G4" s="19"/>
      <c r="H4" s="20"/>
      <c r="I4" s="20"/>
      <c r="J4" s="20"/>
      <c r="K4" s="20"/>
      <c r="L4" s="21"/>
    </row>
    <row r="5" spans="2:12" x14ac:dyDescent="0.3">
      <c r="B5" s="1" t="s">
        <v>1</v>
      </c>
      <c r="C5" s="3">
        <v>0.1</v>
      </c>
      <c r="F5" s="15"/>
      <c r="G5" s="12"/>
      <c r="H5" s="12"/>
      <c r="I5" s="12"/>
      <c r="J5" s="12"/>
      <c r="K5" s="12"/>
      <c r="L5" s="14"/>
    </row>
    <row r="6" spans="2:12" ht="15" thickBot="1" x14ac:dyDescent="0.35">
      <c r="B6" s="4" t="s">
        <v>2</v>
      </c>
      <c r="C6" s="5">
        <v>1.4999999999999999E-2</v>
      </c>
      <c r="F6" s="15"/>
      <c r="G6" s="12"/>
      <c r="H6" s="12"/>
      <c r="I6" s="12"/>
      <c r="J6" s="12"/>
      <c r="K6" s="12"/>
      <c r="L6" s="14"/>
    </row>
    <row r="7" spans="2:12" x14ac:dyDescent="0.3">
      <c r="F7" s="15"/>
      <c r="G7" s="12"/>
      <c r="H7" s="12"/>
      <c r="I7" s="12"/>
      <c r="J7" s="12"/>
      <c r="K7" s="12"/>
      <c r="L7" s="14"/>
    </row>
    <row r="8" spans="2:12" ht="15" thickBot="1" x14ac:dyDescent="0.35">
      <c r="F8" s="15"/>
      <c r="G8" s="12"/>
      <c r="H8" s="12"/>
      <c r="I8" s="12"/>
      <c r="J8" s="12"/>
      <c r="K8" s="12"/>
      <c r="L8" s="14"/>
    </row>
    <row r="9" spans="2:12" x14ac:dyDescent="0.3">
      <c r="B9" s="32" t="s">
        <v>4</v>
      </c>
      <c r="C9" s="33"/>
      <c r="F9" s="15"/>
      <c r="G9" s="12"/>
      <c r="H9" s="12"/>
      <c r="I9" s="12"/>
      <c r="J9" s="12"/>
      <c r="K9" s="12"/>
      <c r="L9" s="14"/>
    </row>
    <row r="10" spans="2:12" x14ac:dyDescent="0.3">
      <c r="B10" s="1" t="s">
        <v>5</v>
      </c>
      <c r="C10" s="6" t="s">
        <v>6</v>
      </c>
      <c r="F10" s="15"/>
      <c r="G10" s="12"/>
      <c r="H10" s="12"/>
      <c r="I10" s="12"/>
      <c r="J10" s="12"/>
      <c r="K10" s="12"/>
      <c r="L10" s="14"/>
    </row>
    <row r="11" spans="2:12" x14ac:dyDescent="0.3">
      <c r="B11" s="7">
        <v>0</v>
      </c>
      <c r="C11" s="2">
        <f>(base*(1+raise)^B11)*(1+bonus)</f>
        <v>110000.00000000001</v>
      </c>
      <c r="F11" s="15"/>
      <c r="G11" s="12"/>
      <c r="H11" s="12"/>
      <c r="I11" s="12"/>
      <c r="J11" s="12"/>
      <c r="K11" s="12"/>
      <c r="L11" s="14"/>
    </row>
    <row r="12" spans="2:12" x14ac:dyDescent="0.3">
      <c r="B12" s="7">
        <v>1</v>
      </c>
      <c r="C12" s="2">
        <f>(base*(1+raise)^B12)*(1+bonus)</f>
        <v>111650</v>
      </c>
      <c r="F12" s="15"/>
      <c r="G12" s="12"/>
      <c r="H12" s="12"/>
      <c r="I12" s="12"/>
      <c r="J12" s="12"/>
      <c r="K12" s="12"/>
      <c r="L12" s="14"/>
    </row>
    <row r="13" spans="2:12" ht="15" thickBot="1" x14ac:dyDescent="0.35">
      <c r="B13" s="7">
        <v>2</v>
      </c>
      <c r="C13" s="2">
        <f>(base*(1+raise)^B13)*(1+bonus)</f>
        <v>113324.74999999997</v>
      </c>
      <c r="F13" s="16"/>
      <c r="G13" s="17"/>
      <c r="H13" s="17"/>
      <c r="I13" s="17"/>
      <c r="J13" s="17"/>
      <c r="K13" s="17"/>
      <c r="L13" s="18"/>
    </row>
    <row r="14" spans="2:12" x14ac:dyDescent="0.3">
      <c r="B14" s="7">
        <v>3</v>
      </c>
      <c r="C14" s="2">
        <f>(base*(1+raise)^B14)*(1+bonus)</f>
        <v>115024.62124999997</v>
      </c>
    </row>
    <row r="15" spans="2:12" ht="15" thickBot="1" x14ac:dyDescent="0.35">
      <c r="B15" s="9">
        <v>4</v>
      </c>
      <c r="C15" s="10">
        <f>(base*(1+raise)^B15)*(1+bonus)</f>
        <v>116749.99056874996</v>
      </c>
    </row>
    <row r="16" spans="2:12" ht="15.6" thickTop="1" thickBot="1" x14ac:dyDescent="0.35">
      <c r="B16" s="8" t="s">
        <v>11</v>
      </c>
      <c r="C16" s="11">
        <f>SUM(C11:C15)</f>
        <v>566749.36181874992</v>
      </c>
    </row>
  </sheetData>
  <mergeCells count="2">
    <mergeCell ref="B3:C3"/>
    <mergeCell ref="B9:C9"/>
  </mergeCells>
  <phoneticPr fontId="4" type="noConversion"/>
  <conditionalFormatting sqref="G5:K13">
    <cfRule type="colorScale" priority="3">
      <colorScale>
        <cfvo type="min"/>
        <cfvo type="max"/>
        <color rgb="FFFCFCFF"/>
        <color theme="3" tint="0.499984740745262"/>
      </colorScale>
    </cfRule>
  </conditionalFormatting>
  <conditionalFormatting sqref="L5:L13">
    <cfRule type="colorScale" priority="1">
      <colorScale>
        <cfvo type="min"/>
        <cfvo type="max"/>
        <color rgb="FFFCFCFF"/>
        <color theme="3" tint="0.499984740745262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3BD51-1D64-42D2-A44B-AE447FBF8D68}">
  <dimension ref="B2:L16"/>
  <sheetViews>
    <sheetView workbookViewId="0">
      <selection activeCell="F14" sqref="F14"/>
    </sheetView>
  </sheetViews>
  <sheetFormatPr defaultRowHeight="14.4" x14ac:dyDescent="0.3"/>
  <cols>
    <col min="2" max="2" width="11.109375" bestFit="1" customWidth="1"/>
    <col min="3" max="3" width="9.6640625" bestFit="1" customWidth="1"/>
    <col min="6" max="6" width="11.109375" bestFit="1" customWidth="1"/>
    <col min="7" max="12" width="12.21875" bestFit="1" customWidth="1"/>
  </cols>
  <sheetData>
    <row r="2" spans="2:12" ht="15" thickBot="1" x14ac:dyDescent="0.35"/>
    <row r="3" spans="2:12" ht="15" thickBot="1" x14ac:dyDescent="0.35">
      <c r="B3" s="32" t="s">
        <v>0</v>
      </c>
      <c r="C3" s="33"/>
      <c r="F3" s="13" t="s">
        <v>2</v>
      </c>
      <c r="G3" s="13" t="s">
        <v>12</v>
      </c>
      <c r="H3" s="13" t="s">
        <v>7</v>
      </c>
      <c r="I3" s="13" t="s">
        <v>8</v>
      </c>
      <c r="J3" s="13" t="s">
        <v>9</v>
      </c>
      <c r="K3" s="13" t="s">
        <v>10</v>
      </c>
      <c r="L3" s="13" t="s">
        <v>11</v>
      </c>
    </row>
    <row r="4" spans="2:12" ht="15" thickBot="1" x14ac:dyDescent="0.35">
      <c r="B4" s="1" t="s">
        <v>3</v>
      </c>
      <c r="C4" s="2">
        <v>100000</v>
      </c>
      <c r="F4" s="22"/>
      <c r="G4" s="19">
        <f>Year0</f>
        <v>110000.00000000001</v>
      </c>
      <c r="H4" s="20">
        <f>Year1</f>
        <v>111650</v>
      </c>
      <c r="I4" s="20">
        <f>Year2</f>
        <v>113324.74999999997</v>
      </c>
      <c r="J4" s="20">
        <f>Year3</f>
        <v>115024.62124999997</v>
      </c>
      <c r="K4" s="20">
        <f>year4</f>
        <v>116749.99056874996</v>
      </c>
      <c r="L4" s="21">
        <f>Totalsalary</f>
        <v>566749.36181874992</v>
      </c>
    </row>
    <row r="5" spans="2:12" x14ac:dyDescent="0.3">
      <c r="B5" s="1" t="s">
        <v>1</v>
      </c>
      <c r="C5" s="3">
        <v>0.1</v>
      </c>
      <c r="F5" s="15">
        <v>0</v>
      </c>
      <c r="G5" s="12">
        <f t="dataTable" ref="G5:L13" dt2D="0" dtr="0" r1="C6"/>
        <v>110000.00000000001</v>
      </c>
      <c r="H5" s="12">
        <v>110000.00000000001</v>
      </c>
      <c r="I5" s="12">
        <v>110000.00000000001</v>
      </c>
      <c r="J5" s="12">
        <v>110000.00000000001</v>
      </c>
      <c r="K5" s="12">
        <v>110000.00000000001</v>
      </c>
      <c r="L5" s="14">
        <v>550000.00000000012</v>
      </c>
    </row>
    <row r="6" spans="2:12" ht="15" thickBot="1" x14ac:dyDescent="0.35">
      <c r="B6" s="4" t="s">
        <v>2</v>
      </c>
      <c r="C6" s="5">
        <v>1.4999999999999999E-2</v>
      </c>
      <c r="F6" s="15">
        <v>5.0000000000000001E-3</v>
      </c>
      <c r="G6" s="12">
        <v>110000.00000000001</v>
      </c>
      <c r="H6" s="12">
        <v>110550</v>
      </c>
      <c r="I6" s="12">
        <v>111102.74999999997</v>
      </c>
      <c r="J6" s="12">
        <v>111658.26374999997</v>
      </c>
      <c r="K6" s="12">
        <v>112216.55506874995</v>
      </c>
      <c r="L6" s="14">
        <v>555527.56881874998</v>
      </c>
    </row>
    <row r="7" spans="2:12" x14ac:dyDescent="0.3">
      <c r="F7" s="15">
        <v>0.01</v>
      </c>
      <c r="G7" s="12">
        <v>110000.00000000001</v>
      </c>
      <c r="H7" s="12">
        <v>111100.00000000001</v>
      </c>
      <c r="I7" s="12">
        <v>112211.00000000001</v>
      </c>
      <c r="J7" s="12">
        <v>113333.11</v>
      </c>
      <c r="K7" s="12">
        <v>114466.44110000001</v>
      </c>
      <c r="L7" s="14">
        <v>561110.55110000004</v>
      </c>
    </row>
    <row r="8" spans="2:12" ht="15" thickBot="1" x14ac:dyDescent="0.35">
      <c r="F8" s="15">
        <v>1.4999999999999999E-2</v>
      </c>
      <c r="G8" s="12">
        <v>110000.00000000001</v>
      </c>
      <c r="H8" s="12">
        <v>111650</v>
      </c>
      <c r="I8" s="12">
        <v>113324.74999999997</v>
      </c>
      <c r="J8" s="12">
        <v>115024.62124999997</v>
      </c>
      <c r="K8" s="12">
        <v>116749.99056874996</v>
      </c>
      <c r="L8" s="14">
        <v>566749.36181874992</v>
      </c>
    </row>
    <row r="9" spans="2:12" x14ac:dyDescent="0.3">
      <c r="B9" s="32" t="s">
        <v>4</v>
      </c>
      <c r="C9" s="33"/>
      <c r="F9" s="15">
        <v>0.02</v>
      </c>
      <c r="G9" s="12">
        <v>110000.00000000001</v>
      </c>
      <c r="H9" s="12">
        <v>112200.00000000001</v>
      </c>
      <c r="I9" s="12">
        <v>114444.00000000001</v>
      </c>
      <c r="J9" s="12">
        <v>116732.87999999999</v>
      </c>
      <c r="K9" s="12">
        <v>119067.53760000001</v>
      </c>
      <c r="L9" s="14">
        <v>572444.41760000004</v>
      </c>
    </row>
    <row r="10" spans="2:12" x14ac:dyDescent="0.3">
      <c r="B10" s="1" t="s">
        <v>5</v>
      </c>
      <c r="C10" s="6" t="s">
        <v>6</v>
      </c>
      <c r="F10" s="15">
        <v>2.5000000000000001E-2</v>
      </c>
      <c r="G10" s="12">
        <v>110000.00000000001</v>
      </c>
      <c r="H10" s="12">
        <v>112750</v>
      </c>
      <c r="I10" s="12">
        <v>115568.75</v>
      </c>
      <c r="J10" s="12">
        <v>118457.96875</v>
      </c>
      <c r="K10" s="12">
        <v>121419.41796874997</v>
      </c>
      <c r="L10" s="14">
        <v>578196.13671875</v>
      </c>
    </row>
    <row r="11" spans="2:12" x14ac:dyDescent="0.3">
      <c r="B11" s="7">
        <v>0</v>
      </c>
      <c r="C11" s="2">
        <f>(base*(1+raise)^B11)*(1+bonus)</f>
        <v>110000.00000000001</v>
      </c>
      <c r="F11" s="15">
        <v>0.03</v>
      </c>
      <c r="G11" s="12">
        <v>110000.00000000001</v>
      </c>
      <c r="H11" s="12">
        <v>113300.00000000001</v>
      </c>
      <c r="I11" s="12">
        <v>116699.00000000001</v>
      </c>
      <c r="J11" s="12">
        <v>120199.97</v>
      </c>
      <c r="K11" s="12">
        <v>123805.9691</v>
      </c>
      <c r="L11" s="14">
        <v>584004.93910000008</v>
      </c>
    </row>
    <row r="12" spans="2:12" x14ac:dyDescent="0.3">
      <c r="B12" s="7">
        <v>1</v>
      </c>
      <c r="C12" s="2">
        <f>(base*(1+raise)^B12)*(1+bonus)</f>
        <v>111650</v>
      </c>
      <c r="F12" s="15">
        <v>3.5000000000000003E-2</v>
      </c>
      <c r="G12" s="12">
        <v>110000.00000000001</v>
      </c>
      <c r="H12" s="12">
        <v>113850</v>
      </c>
      <c r="I12" s="12">
        <v>117834.75</v>
      </c>
      <c r="J12" s="12">
        <v>121958.96624999998</v>
      </c>
      <c r="K12" s="12">
        <v>126227.53006874998</v>
      </c>
      <c r="L12" s="14">
        <v>589871.24631874997</v>
      </c>
    </row>
    <row r="13" spans="2:12" ht="15" thickBot="1" x14ac:dyDescent="0.35">
      <c r="B13" s="7">
        <v>2</v>
      </c>
      <c r="C13" s="2">
        <f>(base*(1+raise)^B13)*(1+bonus)</f>
        <v>113324.74999999997</v>
      </c>
      <c r="F13" s="16">
        <v>0.04</v>
      </c>
      <c r="G13" s="17">
        <v>110000.00000000001</v>
      </c>
      <c r="H13" s="17">
        <v>114400.00000000001</v>
      </c>
      <c r="I13" s="17">
        <v>118976.00000000003</v>
      </c>
      <c r="J13" s="17">
        <v>123735.04000000002</v>
      </c>
      <c r="K13" s="17">
        <v>128684.44160000002</v>
      </c>
      <c r="L13" s="18">
        <v>595795.48160000006</v>
      </c>
    </row>
    <row r="14" spans="2:12" x14ac:dyDescent="0.3">
      <c r="B14" s="7">
        <v>3</v>
      </c>
      <c r="C14" s="2">
        <f>(base*(1+raise)^B14)*(1+bonus)</f>
        <v>115024.62124999997</v>
      </c>
    </row>
    <row r="15" spans="2:12" ht="15" thickBot="1" x14ac:dyDescent="0.35">
      <c r="B15" s="9">
        <v>4</v>
      </c>
      <c r="C15" s="10">
        <f>(base*(1+raise)^B15)*(1+bonus)</f>
        <v>116749.99056874996</v>
      </c>
    </row>
    <row r="16" spans="2:12" ht="15.6" thickTop="1" thickBot="1" x14ac:dyDescent="0.35">
      <c r="B16" s="8" t="s">
        <v>11</v>
      </c>
      <c r="C16" s="11">
        <f>SUM(C11:C15)</f>
        <v>566749.36181874992</v>
      </c>
    </row>
  </sheetData>
  <mergeCells count="2">
    <mergeCell ref="B3:C3"/>
    <mergeCell ref="B9:C9"/>
  </mergeCells>
  <conditionalFormatting sqref="G5:K13">
    <cfRule type="colorScale" priority="2">
      <colorScale>
        <cfvo type="min"/>
        <cfvo type="max"/>
        <color rgb="FFFCFCFF"/>
        <color theme="3" tint="0.499984740745262"/>
      </colorScale>
    </cfRule>
  </conditionalFormatting>
  <conditionalFormatting sqref="L5:L13">
    <cfRule type="colorScale" priority="1">
      <colorScale>
        <cfvo type="min"/>
        <cfvo type="max"/>
        <color rgb="FFFCFCFF"/>
        <color theme="3" tint="0.499984740745262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18FA4-DA13-4FC1-B794-DC13328E3181}">
  <dimension ref="B2:L16"/>
  <sheetViews>
    <sheetView workbookViewId="0">
      <selection activeCell="F19" sqref="F19"/>
    </sheetView>
  </sheetViews>
  <sheetFormatPr defaultRowHeight="14.4" x14ac:dyDescent="0.3"/>
  <cols>
    <col min="2" max="2" width="11.109375" bestFit="1" customWidth="1"/>
    <col min="3" max="3" width="9.6640625" bestFit="1" customWidth="1"/>
    <col min="6" max="12" width="12.21875" bestFit="1" customWidth="1"/>
  </cols>
  <sheetData>
    <row r="2" spans="2:12" ht="15" thickBot="1" x14ac:dyDescent="0.35"/>
    <row r="3" spans="2:12" ht="15" thickBot="1" x14ac:dyDescent="0.35">
      <c r="B3" s="32" t="s">
        <v>0</v>
      </c>
      <c r="C3" s="33"/>
      <c r="F3" s="13" t="s">
        <v>2</v>
      </c>
      <c r="G3" s="31" t="s">
        <v>1</v>
      </c>
      <c r="H3" s="31"/>
      <c r="I3" s="31"/>
      <c r="J3" s="31"/>
      <c r="K3" s="31"/>
      <c r="L3" s="31"/>
    </row>
    <row r="4" spans="2:12" ht="15" thickBot="1" x14ac:dyDescent="0.35">
      <c r="B4" s="1" t="s">
        <v>3</v>
      </c>
      <c r="C4" s="2">
        <v>100000</v>
      </c>
      <c r="F4" s="30">
        <f>Totalsalary</f>
        <v>566749.36181874992</v>
      </c>
      <c r="G4" s="23">
        <v>0</v>
      </c>
      <c r="H4" s="24">
        <v>0.05</v>
      </c>
      <c r="I4" s="25">
        <v>0.1</v>
      </c>
      <c r="J4" s="24">
        <v>0.15</v>
      </c>
      <c r="K4" s="25">
        <v>0.2</v>
      </c>
      <c r="L4" s="26">
        <v>0.25</v>
      </c>
    </row>
    <row r="5" spans="2:12" x14ac:dyDescent="0.3">
      <c r="B5" s="1" t="s">
        <v>1</v>
      </c>
      <c r="C5" s="3">
        <v>0.1</v>
      </c>
      <c r="F5" s="27">
        <v>0</v>
      </c>
      <c r="G5" s="12">
        <f t="dataTable" ref="G5:L13" dt2D="1" dtr="1" r1="C5" r2="C6"/>
        <v>500000</v>
      </c>
      <c r="H5" s="12">
        <v>525000</v>
      </c>
      <c r="I5" s="12">
        <v>550000.00000000012</v>
      </c>
      <c r="J5" s="12">
        <v>574999.99999999988</v>
      </c>
      <c r="K5" s="12">
        <v>600000</v>
      </c>
      <c r="L5" s="14">
        <v>625000</v>
      </c>
    </row>
    <row r="6" spans="2:12" ht="15" thickBot="1" x14ac:dyDescent="0.35">
      <c r="B6" s="4" t="s">
        <v>2</v>
      </c>
      <c r="C6" s="5">
        <v>1.4999999999999999E-2</v>
      </c>
      <c r="F6" s="28">
        <v>5.0000000000000001E-3</v>
      </c>
      <c r="G6" s="12">
        <v>505025.06256249989</v>
      </c>
      <c r="H6" s="12">
        <v>530276.31569062488</v>
      </c>
      <c r="I6" s="12">
        <v>555527.56881874998</v>
      </c>
      <c r="J6" s="12">
        <v>580778.82194687473</v>
      </c>
      <c r="K6" s="12">
        <v>606030.07507499983</v>
      </c>
      <c r="L6" s="14">
        <v>631281.32820312493</v>
      </c>
    </row>
    <row r="7" spans="2:12" x14ac:dyDescent="0.3">
      <c r="F7" s="28">
        <v>0.01</v>
      </c>
      <c r="G7" s="12">
        <v>510100.50099999999</v>
      </c>
      <c r="H7" s="12">
        <v>535605.52604999999</v>
      </c>
      <c r="I7" s="12">
        <v>561110.55110000004</v>
      </c>
      <c r="J7" s="12">
        <v>586615.57614999986</v>
      </c>
      <c r="K7" s="12">
        <v>612120.60120000003</v>
      </c>
      <c r="L7" s="14">
        <v>637625.62624999997</v>
      </c>
    </row>
    <row r="8" spans="2:12" ht="15" thickBot="1" x14ac:dyDescent="0.35">
      <c r="F8" s="28">
        <v>1.4999999999999999E-2</v>
      </c>
      <c r="G8" s="12">
        <v>515226.6925624999</v>
      </c>
      <c r="H8" s="12">
        <v>540988.02719062497</v>
      </c>
      <c r="I8" s="12">
        <v>566749.36181874992</v>
      </c>
      <c r="J8" s="12">
        <v>592510.69644687476</v>
      </c>
      <c r="K8" s="12">
        <v>618272.03107499983</v>
      </c>
      <c r="L8" s="14">
        <v>644033.3657031249</v>
      </c>
    </row>
    <row r="9" spans="2:12" x14ac:dyDescent="0.3">
      <c r="B9" s="32" t="s">
        <v>4</v>
      </c>
      <c r="C9" s="33"/>
      <c r="F9" s="28">
        <v>0.02</v>
      </c>
      <c r="G9" s="12">
        <v>520404.016</v>
      </c>
      <c r="H9" s="12">
        <v>546424.21679999994</v>
      </c>
      <c r="I9" s="12">
        <v>572444.41760000004</v>
      </c>
      <c r="J9" s="12">
        <v>598464.61839999992</v>
      </c>
      <c r="K9" s="12">
        <v>624484.81919999991</v>
      </c>
      <c r="L9" s="14">
        <v>650505.02</v>
      </c>
    </row>
    <row r="10" spans="2:12" x14ac:dyDescent="0.3">
      <c r="B10" s="1" t="s">
        <v>5</v>
      </c>
      <c r="C10" s="6" t="s">
        <v>6</v>
      </c>
      <c r="F10" s="28">
        <v>2.5000000000000001E-2</v>
      </c>
      <c r="G10" s="12">
        <v>525632.8515625</v>
      </c>
      <c r="H10" s="12">
        <v>551914.494140625</v>
      </c>
      <c r="I10" s="12">
        <v>578196.13671875</v>
      </c>
      <c r="J10" s="12">
        <v>604477.77929687488</v>
      </c>
      <c r="K10" s="12">
        <v>630759.42187499988</v>
      </c>
      <c r="L10" s="14">
        <v>657041.064453125</v>
      </c>
    </row>
    <row r="11" spans="2:12" x14ac:dyDescent="0.3">
      <c r="B11" s="7">
        <v>0</v>
      </c>
      <c r="C11" s="2">
        <f>(base*(1+raise)^B11)*(1+bonus)</f>
        <v>110000.00000000001</v>
      </c>
      <c r="F11" s="28">
        <v>0.03</v>
      </c>
      <c r="G11" s="12">
        <v>530913.58100000001</v>
      </c>
      <c r="H11" s="12">
        <v>557459.26005000004</v>
      </c>
      <c r="I11" s="12">
        <v>584004.93910000008</v>
      </c>
      <c r="J11" s="12">
        <v>610550.61814999988</v>
      </c>
      <c r="K11" s="12">
        <v>637096.29719999991</v>
      </c>
      <c r="L11" s="14">
        <v>663641.97625000007</v>
      </c>
    </row>
    <row r="12" spans="2:12" x14ac:dyDescent="0.3">
      <c r="B12" s="7">
        <v>1</v>
      </c>
      <c r="C12" s="2">
        <f>(base*(1+raise)^B12)*(1+bonus)</f>
        <v>111650</v>
      </c>
      <c r="F12" s="28">
        <v>3.5000000000000003E-2</v>
      </c>
      <c r="G12" s="12">
        <v>536246.58756249992</v>
      </c>
      <c r="H12" s="12">
        <v>563058.91694062494</v>
      </c>
      <c r="I12" s="12">
        <v>589871.24631874997</v>
      </c>
      <c r="J12" s="12">
        <v>616683.57569687488</v>
      </c>
      <c r="K12" s="12">
        <v>643495.9050749999</v>
      </c>
      <c r="L12" s="14">
        <v>670308.23445312493</v>
      </c>
    </row>
    <row r="13" spans="2:12" ht="15" thickBot="1" x14ac:dyDescent="0.35">
      <c r="B13" s="7">
        <v>2</v>
      </c>
      <c r="C13" s="2">
        <f>(base*(1+raise)^B13)*(1+bonus)</f>
        <v>113324.74999999997</v>
      </c>
      <c r="F13" s="29">
        <v>0.04</v>
      </c>
      <c r="G13" s="17">
        <v>541632.25600000005</v>
      </c>
      <c r="H13" s="17">
        <v>568713.86880000005</v>
      </c>
      <c r="I13" s="17">
        <v>595795.48160000006</v>
      </c>
      <c r="J13" s="17">
        <v>622877.09440000006</v>
      </c>
      <c r="K13" s="17">
        <v>649958.70720000006</v>
      </c>
      <c r="L13" s="18">
        <v>677040.32000000007</v>
      </c>
    </row>
    <row r="14" spans="2:12" x14ac:dyDescent="0.3">
      <c r="B14" s="7">
        <v>3</v>
      </c>
      <c r="C14" s="2">
        <f>(base*(1+raise)^B14)*(1+bonus)</f>
        <v>115024.62124999997</v>
      </c>
    </row>
    <row r="15" spans="2:12" ht="15" thickBot="1" x14ac:dyDescent="0.35">
      <c r="B15" s="9">
        <v>4</v>
      </c>
      <c r="C15" s="10">
        <f>(base*(1+raise)^B15)*(1+bonus)</f>
        <v>116749.99056874996</v>
      </c>
    </row>
    <row r="16" spans="2:12" ht="15.6" thickTop="1" thickBot="1" x14ac:dyDescent="0.35">
      <c r="B16" s="8" t="s">
        <v>11</v>
      </c>
      <c r="C16" s="11">
        <f>SUM(C11:C15)</f>
        <v>566749.36181874992</v>
      </c>
    </row>
  </sheetData>
  <mergeCells count="3">
    <mergeCell ref="B3:C3"/>
    <mergeCell ref="B9:C9"/>
    <mergeCell ref="G3:L3"/>
  </mergeCells>
  <conditionalFormatting sqref="G5:L13">
    <cfRule type="colorScale" priority="1">
      <colorScale>
        <cfvo type="min"/>
        <cfvo type="max"/>
        <color rgb="FFFCFCFF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27</vt:i4>
      </vt:variant>
    </vt:vector>
  </HeadingPairs>
  <TitlesOfParts>
    <vt:vector size="30" baseType="lpstr">
      <vt:lpstr>Original</vt:lpstr>
      <vt:lpstr>Data Table One Input</vt:lpstr>
      <vt:lpstr>Data Table Two Input</vt:lpstr>
      <vt:lpstr>'Data Table One Input'!base</vt:lpstr>
      <vt:lpstr>'Data Table Two Input'!base</vt:lpstr>
      <vt:lpstr>base</vt:lpstr>
      <vt:lpstr>'Data Table One Input'!bonus</vt:lpstr>
      <vt:lpstr>'Data Table Two Input'!bonus</vt:lpstr>
      <vt:lpstr>bonus</vt:lpstr>
      <vt:lpstr>'Data Table One Input'!raise</vt:lpstr>
      <vt:lpstr>'Data Table Two Input'!raise</vt:lpstr>
      <vt:lpstr>raise</vt:lpstr>
      <vt:lpstr>'Data Table One Input'!Totalsalary</vt:lpstr>
      <vt:lpstr>'Data Table Two Input'!Totalsalary</vt:lpstr>
      <vt:lpstr>Totalsalary</vt:lpstr>
      <vt:lpstr>'Data Table One Input'!Year0</vt:lpstr>
      <vt:lpstr>'Data Table Two Input'!Year0</vt:lpstr>
      <vt:lpstr>Year0</vt:lpstr>
      <vt:lpstr>'Data Table One Input'!Year1</vt:lpstr>
      <vt:lpstr>'Data Table Two Input'!Year1</vt:lpstr>
      <vt:lpstr>Year1</vt:lpstr>
      <vt:lpstr>'Data Table One Input'!Year2</vt:lpstr>
      <vt:lpstr>'Data Table Two Input'!Year2</vt:lpstr>
      <vt:lpstr>Year2</vt:lpstr>
      <vt:lpstr>'Data Table One Input'!Year3</vt:lpstr>
      <vt:lpstr>'Data Table Two Input'!Year3</vt:lpstr>
      <vt:lpstr>Year3</vt:lpstr>
      <vt:lpstr>'Data Table One Input'!year4</vt:lpstr>
      <vt:lpstr>'Data Table Two Input'!year4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Johnfinnian Nnnaemeka</dc:creator>
  <cp:lastModifiedBy>Johnfinnian Nnnaemeka</cp:lastModifiedBy>
  <dcterms:created xsi:type="dcterms:W3CDTF">2025-11-17T13:59:28Z</dcterms:created>
  <dcterms:modified xsi:type="dcterms:W3CDTF">2025-11-25T07:33:11Z</dcterms:modified>
</cp:coreProperties>
</file>